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Match Finder" sheetId="4" state="visible" r:id="rId4"/>
    <sheet xmlns:r="http://schemas.openxmlformats.org/officeDocument/2006/relationships" name="Mentees" sheetId="5" state="visible" r:id="rId5"/>
    <sheet xmlns:r="http://schemas.openxmlformats.org/officeDocument/2006/relationships" name="Mentors" sheetId="6" state="visible" r:id="rId6"/>
    <sheet xmlns:r="http://schemas.openxmlformats.org/officeDocument/2006/relationships" name="Mat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d, yyyy"/>
    <numFmt numFmtId="166" formatCode="m/d/yyyy h:mm"/>
    <numFmt numFmtId="167" formatCode="m/d/yyyy"/>
    <numFmt numFmtId="168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BA0C2F"/>
      <sz val="16"/>
    </font>
    <font>
      <name val="Arial"/>
      <i val="1"/>
      <color rgb="00666666"/>
      <sz val="10"/>
    </font>
    <font>
      <name val="Arial"/>
      <b val="1"/>
      <color rgb="00BA0C2F"/>
      <sz val="12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color rgb="00BA0C2F"/>
      <sz val="11"/>
    </font>
    <font>
      <name val="Arial"/>
      <b val="1"/>
      <color rgb="00FFFFFF"/>
    </font>
    <font>
      <name val="Arial"/>
      <i val="1"/>
      <color rgb="007F7F7F"/>
      <sz val="10"/>
    </font>
    <font>
      <name val="Arial"/>
      <b val="1"/>
      <sz val="11"/>
    </font>
    <font>
      <name val="Arial"/>
      <color rgb="00A6A6A6"/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BA0C2F"/>
      </patternFill>
    </fill>
    <fill>
      <patternFill patternType="solid">
        <fgColor rgb="004D4D4D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0" fontId="3" fillId="0" borderId="0" pivotButton="0" quotePrefix="0" xfId="0"/>
    <xf numFmtId="0" fontId="6" fillId="0" borderId="1" pivotButton="0" quotePrefix="0" xfId="0"/>
    <xf numFmtId="1" fontId="5" fillId="0" borderId="1" applyAlignment="1" pivotButton="0" quotePrefix="0" xfId="0">
      <alignment horizontal="right"/>
    </xf>
    <xf numFmtId="9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0" fontId="8" fillId="4" borderId="1" applyAlignment="1" pivotButton="0" quotePrefix="0" xfId="0">
      <alignment vertical="center" wrapText="1"/>
    </xf>
    <xf numFmtId="168" fontId="6" fillId="0" borderId="1" pivotButton="0" quotePrefix="0" xfId="0"/>
    <xf numFmtId="0" fontId="7" fillId="0" borderId="0" pivotButton="0" quotePrefix="0" xfId="0"/>
    <xf numFmtId="165" fontId="6" fillId="2" borderId="0" pivotButton="0" quotePrefix="0" xfId="0"/>
    <xf numFmtId="0" fontId="8" fillId="4" borderId="1" pivotButton="0" quotePrefix="0" xfId="0"/>
    <xf numFmtId="0" fontId="6" fillId="0" borderId="0" pivotButton="0" quotePrefix="0" xfId="0"/>
    <xf numFmtId="0" fontId="6" fillId="2" borderId="1" pivotButton="0" quotePrefix="0" xfId="0"/>
    <xf numFmtId="0" fontId="8" fillId="3" borderId="1" pivotButton="0" quotePrefix="0" xfId="0"/>
    <xf numFmtId="0" fontId="10" fillId="2" borderId="1" pivotButton="0" quotePrefix="0" xfId="0"/>
    <xf numFmtId="0" fontId="6" fillId="5" borderId="0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8" fillId="3" borderId="1" applyAlignment="1" pivotButton="0" quotePrefix="0" xfId="0">
      <alignment vertical="center" wrapText="1"/>
    </xf>
    <xf numFmtId="166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167" fontId="9" fillId="0" borderId="1" applyAlignment="1" pivotButton="0" quotePrefix="0" xfId="0">
      <alignment vertical="top"/>
    </xf>
    <xf numFmtId="167" fontId="6" fillId="0" borderId="1" applyAlignment="1" pivotButton="0" quotePrefix="0" xfId="0">
      <alignment vertical="top"/>
    </xf>
  </cellXfs>
  <cellStyles count="1">
    <cellStyle name="Normal" xfId="0" builtinId="0" hidden="0"/>
  </cellStyles>
  <dxfs count="5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ScholarLink</author>
  </authors>
  <commentList>
    <comment ref="B3" authorId="0" shapeId="0">
      <text>
        <t>Placeholder date. Change it to your actual pilot start date. The pilot runs 90 days from here.</t>
      </text>
    </comment>
    <comment ref="A16" authorId="0" shapeId="0">
      <text>
        <t>Placeholder departments. Replace them with the 3–4 departments chosen for the pilot. Up to 8 slots.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ScholarLink Pilot Workbook</t>
        </is>
      </c>
    </row>
    <row r="3">
      <c r="B3" s="2" t="inlineStr">
        <is>
          <t>Bulldog Bridge · SGA × GSA · Undergraduate–graduate mentorship, 90-day pilot</t>
        </is>
      </c>
    </row>
    <row r="5">
      <c r="B5" s="3" t="inlineStr">
        <is>
          <t>How the workbook works</t>
        </is>
      </c>
    </row>
    <row r="6">
      <c r="B6" s="4" t="inlineStr">
        <is>
          <t>1. Settings — enter the pilot start date, the pilot departments, and each department's GSA Mentor Lead. Matching weights live here too.</t>
        </is>
      </c>
    </row>
    <row r="7">
      <c r="B7" s="4" t="inlineStr">
        <is>
          <t>2. Mentees / Mentors — paste form responses starting in column B (Timestamp). Column A IDs are pre-filled; never sort or delete rows, so IDs stay attached to the same person.</t>
        </is>
      </c>
    </row>
    <row r="8">
      <c r="B8" s="4" t="inlineStr">
        <is>
          <t>3. Match Finder — choose a mentee ID in the yellow cell. The sheet scores every mentor and lists the top 3 with open slots.</t>
        </is>
      </c>
    </row>
    <row r="9">
      <c r="B9" s="4" t="inlineStr">
        <is>
          <t>4. Matches — log each pairing (mentee ID + mentor ID). Names, department, and Mentor Lead fill in automatically. Record meeting dates, status, and 1–5 ratings.</t>
        </is>
      </c>
    </row>
    <row r="10">
      <c r="B10" s="4" t="inlineStr">
        <is>
          <t>5. Dashboard — pilot totals and a per-department breakdown for reports to the central GSA team and SGA.</t>
        </is>
      </c>
    </row>
    <row r="11">
      <c r="B11" s="4" t="inlineStr"/>
    </row>
    <row r="12">
      <c r="B12" s="3" t="inlineStr">
        <is>
          <t>Color legend</t>
        </is>
      </c>
    </row>
    <row r="13">
      <c r="B13" s="4" t="inlineStr">
        <is>
          <t>Red header = you paste or type in this column.   Grey header = calculated automatically, don't type here.   Yellow cell = a setting you choose.</t>
        </is>
      </c>
    </row>
    <row r="14">
      <c r="B14" s="4" t="inlineStr"/>
    </row>
    <row r="15">
      <c r="B15" s="3" t="inlineStr">
        <is>
          <t>How the match score is calculated (weights set on Settings)</t>
        </is>
      </c>
    </row>
    <row r="16">
      <c r="B16" s="4" t="inlineStr">
        <is>
          <t>• Same department as requested: +40      • Each mentee interest keyword found in the mentor's research text: +10</t>
        </is>
      </c>
    </row>
    <row r="17">
      <c r="B17" s="4" t="inlineStr">
        <is>
          <t>• Each career path both picked: +8      • Each availability window both picked: +5      • Compatible meeting format: +5</t>
        </is>
      </c>
    </row>
    <row r="18">
      <c r="B18" s="4" t="inlineStr">
        <is>
          <t>Mentors with no open slots never appear in the top 3. The score only suggests matches; the departmental Mentor Lead makes the final call.</t>
        </is>
      </c>
    </row>
    <row r="19">
      <c r="B19" s="4" t="inlineStr"/>
    </row>
    <row r="20">
      <c r="B20" s="3" t="inlineStr">
        <is>
          <t>Before going live</t>
        </is>
      </c>
    </row>
    <row r="21">
      <c r="B21" s="4" t="inlineStr">
        <is>
          <t>Rows marked (SAMPLE) on Mentees, Mentors, and Matches show the expected format. Clear their contents (except the ID in column A) before pasting real responses.</t>
        </is>
      </c>
    </row>
    <row r="22">
      <c r="B22" s="4" t="inlineStr">
        <is>
          <t>Form answer choices must match the lists on Settings exactly (see ScholarLink_Form_Questions.md), or the scoring can't recognize them.</t>
        </is>
      </c>
    </row>
    <row r="23">
      <c r="B23" s="4" t="inlineStr">
        <is>
          <t>Capacity: 300 mentees, 150 mentors, 500 matches. To add rows, extend the formulas and IDs together.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Pilot Dashboard</t>
        </is>
      </c>
    </row>
    <row r="2">
      <c r="A2" s="2" t="inlineStr">
        <is>
          <t>Updates automatically from Mentees, Mentors, and Matches.</t>
        </is>
      </c>
    </row>
    <row r="4">
      <c r="A4" s="5" t="inlineStr">
        <is>
          <t>Pilot start</t>
        </is>
      </c>
      <c r="B4" s="6">
        <f>Settings!B3</f>
        <v/>
      </c>
    </row>
    <row r="5">
      <c r="A5" s="5" t="inlineStr">
        <is>
          <t>Pilot end (90 days)</t>
        </is>
      </c>
      <c r="B5" s="6">
        <f>B4+90</f>
        <v/>
      </c>
    </row>
    <row r="6">
      <c r="A6" s="5" t="inlineStr">
        <is>
          <t>Days remaining</t>
        </is>
      </c>
      <c r="B6" s="7">
        <f>MAX(0,B5-TODAY())</f>
        <v/>
      </c>
    </row>
    <row r="8">
      <c r="A8" s="8" t="inlineStr">
        <is>
          <t>Pilot totals</t>
        </is>
      </c>
    </row>
    <row r="9">
      <c r="A9" s="9" t="inlineStr">
        <is>
          <t>Mentees registered</t>
        </is>
      </c>
      <c r="B9" s="10">
        <f>COUNTA(Mentees!$D$2:$D$301)</f>
        <v/>
      </c>
    </row>
    <row r="10">
      <c r="A10" s="9" t="inlineStr">
        <is>
          <t>Mentors registered</t>
        </is>
      </c>
      <c r="B10" s="10">
        <f>COUNTA(Mentors!$D$2:$D$151)</f>
        <v/>
      </c>
    </row>
    <row r="11">
      <c r="A11" s="9" t="inlineStr">
        <is>
          <t>Mentor slots offered</t>
        </is>
      </c>
      <c r="B11" s="10">
        <f>SUM(Mentors!$K$2:$K$151)</f>
        <v/>
      </c>
    </row>
    <row r="12">
      <c r="A12" s="9" t="inlineStr">
        <is>
          <t>Matches made (not withdrawn)</t>
        </is>
      </c>
      <c r="B12" s="10">
        <f>SUMPRODUCT((Matches!$B$2:$B$501&lt;&gt;"")*(Matches!$L$2:$L$501&lt;&gt;"Withdrawn"))</f>
        <v/>
      </c>
    </row>
    <row r="13">
      <c r="A13" s="9" t="inlineStr">
        <is>
          <t>Mentees still waiting</t>
        </is>
      </c>
      <c r="B13" s="10">
        <f>COUNTIF(Mentees!$P$2:$P$301,"Waiting")</f>
        <v/>
      </c>
    </row>
    <row r="14">
      <c r="A14" s="9" t="inlineStr">
        <is>
          <t>Meetings completed</t>
        </is>
      </c>
      <c r="B14" s="10">
        <f>SUM(Matches!$K$2:$K$501)</f>
        <v/>
      </c>
    </row>
    <row r="15">
      <c r="A15" s="9" t="inlineStr">
        <is>
          <t>Matches with both meetings done</t>
        </is>
      </c>
      <c r="B15" s="10">
        <f>COUNTIFS(Matches!$K$2:$K$501,"&gt;=2",Matches!$L$2:$L$501,"&lt;&gt;Withdrawn")</f>
        <v/>
      </c>
    </row>
    <row r="16">
      <c r="A16" s="9" t="inlineStr">
        <is>
          <t>Completion rate (both meetings / matches)</t>
        </is>
      </c>
      <c r="B16" s="11">
        <f>IF(B12=0,0,B15/B12)</f>
        <v/>
      </c>
    </row>
    <row r="17">
      <c r="A17" s="9" t="inlineStr">
        <is>
          <t>Withdrawn matches</t>
        </is>
      </c>
      <c r="B17" s="10">
        <f>COUNTIF(Matches!$L$2:$L$501,"Withdrawn")</f>
        <v/>
      </c>
    </row>
    <row r="18">
      <c r="A18" s="9" t="inlineStr">
        <is>
          <t>Avg mentee rating (1–5)</t>
        </is>
      </c>
      <c r="B18" s="12">
        <f>IFERROR(AVERAGE(Matches!$M$2:$M$501),"—")</f>
        <v/>
      </c>
    </row>
    <row r="19">
      <c r="A19" s="9" t="inlineStr">
        <is>
          <t>Avg mentor rating (1–5)</t>
        </is>
      </c>
      <c r="B19" s="12">
        <f>IFERROR(AVERAGE(Matches!$N$2:$N$501),"—")</f>
        <v/>
      </c>
    </row>
    <row r="21">
      <c r="A21" s="8" t="inlineStr">
        <is>
          <t>By department</t>
        </is>
      </c>
    </row>
    <row r="22" ht="30" customHeight="1">
      <c r="A22" s="13" t="inlineStr">
        <is>
          <t>Department</t>
        </is>
      </c>
      <c r="B22" s="13" t="inlineStr">
        <is>
          <t>GSA Mentor Lead</t>
        </is>
      </c>
      <c r="C22" s="13" t="inlineStr">
        <is>
          <t>Mentees requesting</t>
        </is>
      </c>
      <c r="D22" s="13" t="inlineStr">
        <is>
          <t>Mentors</t>
        </is>
      </c>
      <c r="E22" s="13" t="inlineStr">
        <is>
          <t>Open slots</t>
        </is>
      </c>
      <c r="F22" s="13" t="inlineStr">
        <is>
          <t>Active matches</t>
        </is>
      </c>
      <c r="G22" s="13" t="inlineStr">
        <is>
          <t>Mentees waiting</t>
        </is>
      </c>
      <c r="H22" s="13" t="inlineStr">
        <is>
          <t>Meetings done</t>
        </is>
      </c>
      <c r="I22" s="13" t="inlineStr">
        <is>
          <t>Avg mentee rating</t>
        </is>
      </c>
    </row>
    <row r="23">
      <c r="A23" s="9">
        <f>IF(Settings!$A$16="","",Settings!$A$16)</f>
        <v/>
      </c>
      <c r="B23" s="9">
        <f>IF(A23="","",Settings!$B$16&amp;"")</f>
        <v/>
      </c>
      <c r="C23" s="9">
        <f>IF(A23="","",COUNTIF(Mentees!$G$2:$G$301,A23))</f>
        <v/>
      </c>
      <c r="D23" s="9">
        <f>IF(A23="","",COUNTIF(Mentors!$F$2:$F$151,A23))</f>
        <v/>
      </c>
      <c r="E23" s="9">
        <f>IF(A23="","",SUMIF(Mentors!$F$2:$F$151,A23,Mentors!$O$2:$O$151))</f>
        <v/>
      </c>
      <c r="F23" s="9">
        <f>IF(A23="","",COUNTIFS(Matches!$F$2:$F$501,A23,Matches!$L$2:$L$501,"&lt;&gt;Withdrawn"))</f>
        <v/>
      </c>
      <c r="G23" s="9">
        <f>IF(A23="","",COUNTIFS(Mentees!$G$2:$G$301,A23,Mentees!$P$2:$P$301,"Waiting"))</f>
        <v/>
      </c>
      <c r="H23" s="9">
        <f>IF(A23="","",SUMIF(Matches!$F$2:$F$501,A23,Matches!$K$2:$K$501))</f>
        <v/>
      </c>
      <c r="I23" s="14">
        <f>IF(A23="","",IFERROR(AVERAGEIF(Matches!$F$2:$F$501,A23,Matches!$M$2:$M$501),"—"))</f>
        <v/>
      </c>
    </row>
    <row r="24">
      <c r="A24" s="9">
        <f>IF(Settings!$A$17="","",Settings!$A$17)</f>
        <v/>
      </c>
      <c r="B24" s="9">
        <f>IF(A24="","",Settings!$B$17&amp;"")</f>
        <v/>
      </c>
      <c r="C24" s="9">
        <f>IF(A24="","",COUNTIF(Mentees!$G$2:$G$301,A24))</f>
        <v/>
      </c>
      <c r="D24" s="9">
        <f>IF(A24="","",COUNTIF(Mentors!$F$2:$F$151,A24))</f>
        <v/>
      </c>
      <c r="E24" s="9">
        <f>IF(A24="","",SUMIF(Mentors!$F$2:$F$151,A24,Mentors!$O$2:$O$151))</f>
        <v/>
      </c>
      <c r="F24" s="9">
        <f>IF(A24="","",COUNTIFS(Matches!$F$2:$F$501,A24,Matches!$L$2:$L$501,"&lt;&gt;Withdrawn"))</f>
        <v/>
      </c>
      <c r="G24" s="9">
        <f>IF(A24="","",COUNTIFS(Mentees!$G$2:$G$301,A24,Mentees!$P$2:$P$301,"Waiting"))</f>
        <v/>
      </c>
      <c r="H24" s="9">
        <f>IF(A24="","",SUMIF(Matches!$F$2:$F$501,A24,Matches!$K$2:$K$501))</f>
        <v/>
      </c>
      <c r="I24" s="14">
        <f>IF(A24="","",IFERROR(AVERAGEIF(Matches!$F$2:$F$501,A24,Matches!$M$2:$M$501),"—"))</f>
        <v/>
      </c>
    </row>
    <row r="25">
      <c r="A25" s="9">
        <f>IF(Settings!$A$18="","",Settings!$A$18)</f>
        <v/>
      </c>
      <c r="B25" s="9">
        <f>IF(A25="","",Settings!$B$18&amp;"")</f>
        <v/>
      </c>
      <c r="C25" s="9">
        <f>IF(A25="","",COUNTIF(Mentees!$G$2:$G$301,A25))</f>
        <v/>
      </c>
      <c r="D25" s="9">
        <f>IF(A25="","",COUNTIF(Mentors!$F$2:$F$151,A25))</f>
        <v/>
      </c>
      <c r="E25" s="9">
        <f>IF(A25="","",SUMIF(Mentors!$F$2:$F$151,A25,Mentors!$O$2:$O$151))</f>
        <v/>
      </c>
      <c r="F25" s="9">
        <f>IF(A25="","",COUNTIFS(Matches!$F$2:$F$501,A25,Matches!$L$2:$L$501,"&lt;&gt;Withdrawn"))</f>
        <v/>
      </c>
      <c r="G25" s="9">
        <f>IF(A25="","",COUNTIFS(Mentees!$G$2:$G$301,A25,Mentees!$P$2:$P$301,"Waiting"))</f>
        <v/>
      </c>
      <c r="H25" s="9">
        <f>IF(A25="","",SUMIF(Matches!$F$2:$F$501,A25,Matches!$K$2:$K$501))</f>
        <v/>
      </c>
      <c r="I25" s="14">
        <f>IF(A25="","",IFERROR(AVERAGEIF(Matches!$F$2:$F$501,A25,Matches!$M$2:$M$501),"—"))</f>
        <v/>
      </c>
    </row>
    <row r="26">
      <c r="A26" s="9">
        <f>IF(Settings!$A$19="","",Settings!$A$19)</f>
        <v/>
      </c>
      <c r="B26" s="9">
        <f>IF(A26="","",Settings!$B$19&amp;"")</f>
        <v/>
      </c>
      <c r="C26" s="9">
        <f>IF(A26="","",COUNTIF(Mentees!$G$2:$G$301,A26))</f>
        <v/>
      </c>
      <c r="D26" s="9">
        <f>IF(A26="","",COUNTIF(Mentors!$F$2:$F$151,A26))</f>
        <v/>
      </c>
      <c r="E26" s="9">
        <f>IF(A26="","",SUMIF(Mentors!$F$2:$F$151,A26,Mentors!$O$2:$O$151))</f>
        <v/>
      </c>
      <c r="F26" s="9">
        <f>IF(A26="","",COUNTIFS(Matches!$F$2:$F$501,A26,Matches!$L$2:$L$501,"&lt;&gt;Withdrawn"))</f>
        <v/>
      </c>
      <c r="G26" s="9">
        <f>IF(A26="","",COUNTIFS(Mentees!$G$2:$G$301,A26,Mentees!$P$2:$P$301,"Waiting"))</f>
        <v/>
      </c>
      <c r="H26" s="9">
        <f>IF(A26="","",SUMIF(Matches!$F$2:$F$501,A26,Matches!$K$2:$K$501))</f>
        <v/>
      </c>
      <c r="I26" s="14">
        <f>IF(A26="","",IFERROR(AVERAGEIF(Matches!$F$2:$F$501,A26,Matches!$M$2:$M$501),"—"))</f>
        <v/>
      </c>
    </row>
    <row r="27">
      <c r="A27" s="9">
        <f>IF(Settings!$A$20="","",Settings!$A$20)</f>
        <v/>
      </c>
      <c r="B27" s="9">
        <f>IF(A27="","",Settings!$B$20&amp;"")</f>
        <v/>
      </c>
      <c r="C27" s="9">
        <f>IF(A27="","",COUNTIF(Mentees!$G$2:$G$301,A27))</f>
        <v/>
      </c>
      <c r="D27" s="9">
        <f>IF(A27="","",COUNTIF(Mentors!$F$2:$F$151,A27))</f>
        <v/>
      </c>
      <c r="E27" s="9">
        <f>IF(A27="","",SUMIF(Mentors!$F$2:$F$151,A27,Mentors!$O$2:$O$151))</f>
        <v/>
      </c>
      <c r="F27" s="9">
        <f>IF(A27="","",COUNTIFS(Matches!$F$2:$F$501,A27,Matches!$L$2:$L$501,"&lt;&gt;Withdrawn"))</f>
        <v/>
      </c>
      <c r="G27" s="9">
        <f>IF(A27="","",COUNTIFS(Mentees!$G$2:$G$301,A27,Mentees!$P$2:$P$301,"Waiting"))</f>
        <v/>
      </c>
      <c r="H27" s="9">
        <f>IF(A27="","",SUMIF(Matches!$F$2:$F$501,A27,Matches!$K$2:$K$501))</f>
        <v/>
      </c>
      <c r="I27" s="14">
        <f>IF(A27="","",IFERROR(AVERAGEIF(Matches!$F$2:$F$501,A27,Matches!$M$2:$M$501),"—"))</f>
        <v/>
      </c>
    </row>
    <row r="28">
      <c r="A28" s="9">
        <f>IF(Settings!$A$21="","",Settings!$A$21)</f>
        <v/>
      </c>
      <c r="B28" s="9">
        <f>IF(A28="","",Settings!$B$21&amp;"")</f>
        <v/>
      </c>
      <c r="C28" s="9">
        <f>IF(A28="","",COUNTIF(Mentees!$G$2:$G$301,A28))</f>
        <v/>
      </c>
      <c r="D28" s="9">
        <f>IF(A28="","",COUNTIF(Mentors!$F$2:$F$151,A28))</f>
        <v/>
      </c>
      <c r="E28" s="9">
        <f>IF(A28="","",SUMIF(Mentors!$F$2:$F$151,A28,Mentors!$O$2:$O$151))</f>
        <v/>
      </c>
      <c r="F28" s="9">
        <f>IF(A28="","",COUNTIFS(Matches!$F$2:$F$501,A28,Matches!$L$2:$L$501,"&lt;&gt;Withdrawn"))</f>
        <v/>
      </c>
      <c r="G28" s="9">
        <f>IF(A28="","",COUNTIFS(Mentees!$G$2:$G$301,A28,Mentees!$P$2:$P$301,"Waiting"))</f>
        <v/>
      </c>
      <c r="H28" s="9">
        <f>IF(A28="","",SUMIF(Matches!$F$2:$F$501,A28,Matches!$K$2:$K$501))</f>
        <v/>
      </c>
      <c r="I28" s="14">
        <f>IF(A28="","",IFERROR(AVERAGEIF(Matches!$F$2:$F$501,A28,Matches!$M$2:$M$501),"—"))</f>
        <v/>
      </c>
    </row>
    <row r="29">
      <c r="A29" s="9">
        <f>IF(Settings!$A$22="","",Settings!$A$22)</f>
        <v/>
      </c>
      <c r="B29" s="9">
        <f>IF(A29="","",Settings!$B$22&amp;"")</f>
        <v/>
      </c>
      <c r="C29" s="9">
        <f>IF(A29="","",COUNTIF(Mentees!$G$2:$G$301,A29))</f>
        <v/>
      </c>
      <c r="D29" s="9">
        <f>IF(A29="","",COUNTIF(Mentors!$F$2:$F$151,A29))</f>
        <v/>
      </c>
      <c r="E29" s="9">
        <f>IF(A29="","",SUMIF(Mentors!$F$2:$F$151,A29,Mentors!$O$2:$O$151))</f>
        <v/>
      </c>
      <c r="F29" s="9">
        <f>IF(A29="","",COUNTIFS(Matches!$F$2:$F$501,A29,Matches!$L$2:$L$501,"&lt;&gt;Withdrawn"))</f>
        <v/>
      </c>
      <c r="G29" s="9">
        <f>IF(A29="","",COUNTIFS(Mentees!$G$2:$G$301,A29,Mentees!$P$2:$P$301,"Waiting"))</f>
        <v/>
      </c>
      <c r="H29" s="9">
        <f>IF(A29="","",SUMIF(Matches!$F$2:$F$501,A29,Matches!$K$2:$K$501))</f>
        <v/>
      </c>
      <c r="I29" s="14">
        <f>IF(A29="","",IFERROR(AVERAGEIF(Matches!$F$2:$F$501,A29,Matches!$M$2:$M$501),"—"))</f>
        <v/>
      </c>
    </row>
    <row r="30">
      <c r="A30" s="9">
        <f>IF(Settings!$A$23="","",Settings!$A$23)</f>
        <v/>
      </c>
      <c r="B30" s="9">
        <f>IF(A30="","",Settings!$B$23&amp;"")</f>
        <v/>
      </c>
      <c r="C30" s="9">
        <f>IF(A30="","",COUNTIF(Mentees!$G$2:$G$301,A30))</f>
        <v/>
      </c>
      <c r="D30" s="9">
        <f>IF(A30="","",COUNTIF(Mentors!$F$2:$F$151,A30))</f>
        <v/>
      </c>
      <c r="E30" s="9">
        <f>IF(A30="","",SUMIF(Mentors!$F$2:$F$151,A30,Mentors!$O$2:$O$151))</f>
        <v/>
      </c>
      <c r="F30" s="9">
        <f>IF(A30="","",COUNTIFS(Matches!$F$2:$F$501,A30,Matches!$L$2:$L$501,"&lt;&gt;Withdrawn"))</f>
        <v/>
      </c>
      <c r="G30" s="9">
        <f>IF(A30="","",COUNTIFS(Mentees!$G$2:$G$301,A30,Mentees!$P$2:$P$301,"Waiting"))</f>
        <v/>
      </c>
      <c r="H30" s="9">
        <f>IF(A30="","",SUMIF(Matches!$F$2:$F$501,A30,Matches!$K$2:$K$501))</f>
        <v/>
      </c>
      <c r="I30" s="14">
        <f>IF(A30="","",IFERROR(AVERAGEIF(Matches!$F$2:$F$501,A30,Matches!$M$2:$M$501),"—"))</f>
        <v/>
      </c>
    </row>
    <row r="32">
      <c r="A32" s="2" t="inlineStr">
        <is>
          <t>Waiting mentees in a department with 0 open slots means that department needs more mentors.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8" customWidth="1" min="3" max="3"/>
    <col width="3" customWidth="1" min="4" max="4"/>
    <col width="18" customWidth="1" min="5" max="5"/>
    <col width="18" customWidth="1" min="6" max="6"/>
    <col width="2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Settings</t>
        </is>
      </c>
    </row>
    <row r="2">
      <c r="E2" s="15" t="inlineStr">
        <is>
          <t>Answer lists (must match form choices exactly)</t>
        </is>
      </c>
    </row>
    <row r="3">
      <c r="A3" s="5" t="inlineStr">
        <is>
          <t>Pilot start date</t>
        </is>
      </c>
      <c r="B3" s="16" t="n">
        <v>46328</v>
      </c>
      <c r="E3" s="17" t="inlineStr">
        <is>
          <t>Undergrad year</t>
        </is>
      </c>
      <c r="F3" s="17" t="inlineStr">
        <is>
          <t>Grad program</t>
        </is>
      </c>
      <c r="G3" s="17" t="inlineStr">
        <is>
          <t>Career paths</t>
        </is>
      </c>
      <c r="H3" s="17" t="inlineStr">
        <is>
          <t>Availability</t>
        </is>
      </c>
      <c r="I3" s="17" t="inlineStr">
        <is>
          <t>Meeting format</t>
        </is>
      </c>
      <c r="J3" s="17" t="inlineStr">
        <is>
          <t>Match status</t>
        </is>
      </c>
      <c r="K3" s="17" t="inlineStr">
        <is>
          <t>Max mentees</t>
        </is>
      </c>
    </row>
    <row r="4">
      <c r="E4" s="9" t="inlineStr">
        <is>
          <t>Freshman</t>
        </is>
      </c>
      <c r="F4" s="9" t="inlineStr">
        <is>
          <t>Master's</t>
        </is>
      </c>
      <c r="G4" s="9" t="inlineStr">
        <is>
          <t>Graduate school (PhD)</t>
        </is>
      </c>
      <c r="H4" s="9" t="inlineStr">
        <is>
          <t>Weekday mornings</t>
        </is>
      </c>
      <c r="I4" s="9" t="inlineStr">
        <is>
          <t>In person</t>
        </is>
      </c>
      <c r="J4" s="9" t="inlineStr">
        <is>
          <t>Proposed</t>
        </is>
      </c>
      <c r="K4" s="9" t="n">
        <v>1</v>
      </c>
    </row>
    <row r="5">
      <c r="E5" s="9" t="inlineStr">
        <is>
          <t>Sophomore</t>
        </is>
      </c>
      <c r="F5" s="9" t="inlineStr">
        <is>
          <t>PhD</t>
        </is>
      </c>
      <c r="G5" s="9" t="inlineStr">
        <is>
          <t>Graduate school (Master's)</t>
        </is>
      </c>
      <c r="H5" s="9" t="inlineStr">
        <is>
          <t>Weekday afternoons</t>
        </is>
      </c>
      <c r="I5" s="9" t="inlineStr">
        <is>
          <t>Virtual</t>
        </is>
      </c>
      <c r="J5" s="9" t="inlineStr">
        <is>
          <t>Introduced</t>
        </is>
      </c>
      <c r="K5" s="9" t="n">
        <v>2</v>
      </c>
    </row>
    <row r="6">
      <c r="A6" s="15" t="inlineStr">
        <is>
          <t>Matching weights (points)</t>
        </is>
      </c>
      <c r="E6" s="9" t="inlineStr">
        <is>
          <t>Junior</t>
        </is>
      </c>
      <c r="F6" s="9" t="inlineStr">
        <is>
          <t>Professional</t>
        </is>
      </c>
      <c r="G6" s="9" t="inlineStr">
        <is>
          <t>Medical / Professional school</t>
        </is>
      </c>
      <c r="H6" s="9" t="inlineStr">
        <is>
          <t>Weekday evenings</t>
        </is>
      </c>
      <c r="I6" s="9" t="inlineStr">
        <is>
          <t>Either</t>
        </is>
      </c>
      <c r="J6" s="9" t="inlineStr">
        <is>
          <t>Active</t>
        </is>
      </c>
      <c r="K6" s="9" t="n">
        <v>3</v>
      </c>
    </row>
    <row r="7">
      <c r="A7" s="18" t="inlineStr">
        <is>
          <t>Same department as requested</t>
        </is>
      </c>
      <c r="B7" s="19" t="n">
        <v>40</v>
      </c>
      <c r="E7" s="9" t="inlineStr">
        <is>
          <t>Senior</t>
        </is>
      </c>
      <c r="G7" s="9" t="inlineStr">
        <is>
          <t>Industry R&amp;D</t>
        </is>
      </c>
      <c r="H7" s="9" t="inlineStr">
        <is>
          <t>Weekends</t>
        </is>
      </c>
      <c r="J7" s="9" t="inlineStr">
        <is>
          <t>Completed</t>
        </is>
      </c>
    </row>
    <row r="8">
      <c r="A8" s="18" t="inlineStr">
        <is>
          <t>Per interest keyword found in mentor research</t>
        </is>
      </c>
      <c r="B8" s="19" t="n">
        <v>10</v>
      </c>
      <c r="G8" s="9" t="inlineStr">
        <is>
          <t>Industry (non-research)</t>
        </is>
      </c>
      <c r="J8" s="9" t="inlineStr">
        <is>
          <t>Withdrawn</t>
        </is>
      </c>
    </row>
    <row r="9">
      <c r="A9" s="18" t="inlineStr">
        <is>
          <t>Per shared career path</t>
        </is>
      </c>
      <c r="B9" s="19" t="n">
        <v>8</v>
      </c>
      <c r="G9" s="9" t="inlineStr">
        <is>
          <t>Government / Public sector</t>
        </is>
      </c>
    </row>
    <row r="10">
      <c r="A10" s="18" t="inlineStr">
        <is>
          <t>Per shared availability window</t>
        </is>
      </c>
      <c r="B10" s="19" t="n">
        <v>5</v>
      </c>
      <c r="G10" s="9" t="inlineStr">
        <is>
          <t>Nonprofit</t>
        </is>
      </c>
    </row>
    <row r="11">
      <c r="A11" s="18" t="inlineStr">
        <is>
          <t>Compatible meeting format</t>
        </is>
      </c>
      <c r="B11" s="19" t="n">
        <v>5</v>
      </c>
      <c r="G11" s="9" t="inlineStr">
        <is>
          <t>Entrepreneurship</t>
        </is>
      </c>
    </row>
    <row r="12">
      <c r="A12" s="2" t="inlineStr">
        <is>
          <t>Starting weights, not a policy. Department match is weighted highest because mentors are recruited by department. Adjust freely.</t>
        </is>
      </c>
      <c r="G12" s="9" t="inlineStr">
        <is>
          <t>Undecided</t>
        </is>
      </c>
    </row>
    <row r="14">
      <c r="A14" s="15" t="inlineStr">
        <is>
          <t>Pilot departments</t>
        </is>
      </c>
    </row>
    <row r="15">
      <c r="A15" s="20" t="inlineStr">
        <is>
          <t>Department</t>
        </is>
      </c>
      <c r="B15" s="20" t="inlineStr">
        <is>
          <t>GSA Mentor Lead</t>
        </is>
      </c>
      <c r="C15" s="20" t="inlineStr">
        <is>
          <t>Lead email</t>
        </is>
      </c>
    </row>
    <row r="16">
      <c r="A16" s="19" t="inlineStr">
        <is>
          <t>Computer Science</t>
        </is>
      </c>
      <c r="B16" s="19" t="n"/>
      <c r="C16" s="19" t="n"/>
    </row>
    <row r="17">
      <c r="A17" s="19" t="inlineStr">
        <is>
          <t>Psychology</t>
        </is>
      </c>
      <c r="B17" s="19" t="n"/>
      <c r="C17" s="19" t="n"/>
    </row>
    <row r="18">
      <c r="A18" s="19" t="inlineStr">
        <is>
          <t>Genetics</t>
        </is>
      </c>
      <c r="B18" s="19" t="n"/>
      <c r="C18" s="19" t="n"/>
    </row>
    <row r="19">
      <c r="A19" s="19" t="inlineStr">
        <is>
          <t>Marketing</t>
        </is>
      </c>
      <c r="B19" s="19" t="n"/>
      <c r="C19" s="19" t="n"/>
    </row>
    <row r="20">
      <c r="A20" s="19" t="n"/>
      <c r="B20" s="19" t="n"/>
      <c r="C20" s="19" t="n"/>
    </row>
    <row r="21">
      <c r="A21" s="19" t="n"/>
      <c r="B21" s="19" t="n"/>
      <c r="C21" s="19" t="n"/>
    </row>
    <row r="22">
      <c r="A22" s="19" t="n"/>
      <c r="B22" s="19" t="n"/>
      <c r="C22" s="19" t="n"/>
    </row>
    <row r="23">
      <c r="A23" s="19" t="n"/>
      <c r="B23" s="19" t="n"/>
      <c r="C23" s="19" t="n"/>
    </row>
    <row r="25">
      <c r="A25" s="2" t="inlineStr">
        <is>
          <t>Department names here must exactly match the department choices on both forms.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1" customWidth="1" min="4" max="4"/>
    <col width="14" customWidth="1" min="5" max="5"/>
    <col width="22" customWidth="1" min="6" max="6"/>
    <col width="18" customWidth="1" min="7" max="7"/>
    <col width="13" customWidth="1" min="8" max="8"/>
    <col width="11" customWidth="1" min="9" max="9"/>
    <col width="11" customWidth="1" min="10" max="10"/>
    <col width="18" customWidth="1" min="11" max="11"/>
  </cols>
  <sheetData>
    <row r="1">
      <c r="A1" s="1" t="inlineStr">
        <is>
          <t>Match Finder</t>
        </is>
      </c>
    </row>
    <row r="2">
      <c r="A2" s="2" t="inlineStr">
        <is>
          <t>Choose a mentee ID. Every mentor is scored, and the top 3 with open slots are listed. Log your pick on the Matches sheet.</t>
        </is>
      </c>
      <c r="D2" s="8" t="inlineStr">
        <is>
          <t>Top 3 mentors with open slots</t>
        </is>
      </c>
    </row>
    <row r="3">
      <c r="A3" s="5" t="inlineStr">
        <is>
          <t>Mentee ID →</t>
        </is>
      </c>
      <c r="B3" s="21" t="inlineStr">
        <is>
          <t>U-001</t>
        </is>
      </c>
      <c r="D3" s="17" t="inlineStr">
        <is>
          <t>Rank</t>
        </is>
      </c>
      <c r="E3" s="17" t="inlineStr">
        <is>
          <t>Mentor ID</t>
        </is>
      </c>
      <c r="F3" s="17" t="inlineStr">
        <is>
          <t>Mentor</t>
        </is>
      </c>
      <c r="G3" s="17" t="inlineStr">
        <is>
          <t>Department</t>
        </is>
      </c>
      <c r="H3" s="17" t="inlineStr">
        <is>
          <t>Score</t>
        </is>
      </c>
      <c r="I3" s="17" t="inlineStr">
        <is>
          <t>Open slots</t>
        </is>
      </c>
      <c r="J3" s="17" t="inlineStr">
        <is>
          <t>Mentor Lead</t>
        </is>
      </c>
    </row>
    <row r="4">
      <c r="A4" s="5" t="inlineStr">
        <is>
          <t>Name</t>
        </is>
      </c>
      <c r="B4" s="22">
        <f>IF($B$3="","",IFERROR(INDEX(Mentees!$D$2:$D$301,MATCH($B$3,Mentees!$A$2:$A$301,0))&amp;"",""))</f>
        <v/>
      </c>
      <c r="D4" s="9" t="n">
        <v>1</v>
      </c>
      <c r="E4" s="23">
        <f>IF($B$4="","",IF(LARGE($K$18:$K$167,1)&lt;0,"",INDEX($A$18:$A$167,MATCH(LARGE($K$18:$K$167,1),$K$18:$K$167,0))))</f>
        <v/>
      </c>
      <c r="F4" s="23">
        <f>IF(E4="",IF(AND(1=1,$B$4&lt;&gt;""),"No mentor with open slots",""),INDEX($B$18:$B$167,MATCH(E4,$A$18:$A$167,0)))</f>
        <v/>
      </c>
      <c r="G4" s="9">
        <f>IF(E4="","",INDEX($C$18:$C$167,MATCH(E4,$A$18:$A$167,0)))</f>
        <v/>
      </c>
      <c r="H4" s="9">
        <f>IF(E4="","",INDEX($J$18:$J$167,MATCH(E4,$A$18:$A$167,0)))</f>
        <v/>
      </c>
      <c r="I4" s="9">
        <f>IF(E4="","",INDEX($D$18:$D$167,MATCH(E4,$A$18:$A$167,0)))</f>
        <v/>
      </c>
      <c r="J4" s="9">
        <f>IF(E4="","",IFERROR(INDEX(Mentors!$P$2:$P$151,MATCH(E4,Mentors!$A$2:$A$151,0)),""))</f>
        <v/>
      </c>
    </row>
    <row r="5">
      <c r="A5" s="5" t="inlineStr">
        <is>
          <t>Year</t>
        </is>
      </c>
      <c r="B5" s="22">
        <f>IF($B$3="","",IFERROR(INDEX(Mentees!$E$2:$E$301,MATCH($B$3,Mentees!$A$2:$A$301,0))&amp;"",""))</f>
        <v/>
      </c>
      <c r="D5" s="9" t="n">
        <v>2</v>
      </c>
      <c r="E5" s="23">
        <f>IF($B$4="","",IF(LARGE($K$18:$K$167,2)&lt;0,"",INDEX($A$18:$A$167,MATCH(LARGE($K$18:$K$167,2),$K$18:$K$167,0))))</f>
        <v/>
      </c>
      <c r="F5" s="23">
        <f>IF(E5="",IF(AND(2=1,$B$4&lt;&gt;""),"No mentor with open slots",""),INDEX($B$18:$B$167,MATCH(E5,$A$18:$A$167,0)))</f>
        <v/>
      </c>
      <c r="G5" s="9">
        <f>IF(E5="","",INDEX($C$18:$C$167,MATCH(E5,$A$18:$A$167,0)))</f>
        <v/>
      </c>
      <c r="H5" s="9">
        <f>IF(E5="","",INDEX($J$18:$J$167,MATCH(E5,$A$18:$A$167,0)))</f>
        <v/>
      </c>
      <c r="I5" s="9">
        <f>IF(E5="","",INDEX($D$18:$D$167,MATCH(E5,$A$18:$A$167,0)))</f>
        <v/>
      </c>
      <c r="J5" s="9">
        <f>IF(E5="","",IFERROR(INDEX(Mentors!$P$2:$P$151,MATCH(E5,Mentors!$A$2:$A$151,0)),""))</f>
        <v/>
      </c>
    </row>
    <row r="6">
      <c r="A6" s="5" t="inlineStr">
        <is>
          <t>Major</t>
        </is>
      </c>
      <c r="B6" s="22">
        <f>IF($B$3="","",IFERROR(INDEX(Mentees!$F$2:$F$301,MATCH($B$3,Mentees!$A$2:$A$301,0))&amp;"",""))</f>
        <v/>
      </c>
      <c r="D6" s="9" t="n">
        <v>3</v>
      </c>
      <c r="E6" s="23">
        <f>IF($B$4="","",IF(LARGE($K$18:$K$167,3)&lt;0,"",INDEX($A$18:$A$167,MATCH(LARGE($K$18:$K$167,3),$K$18:$K$167,0))))</f>
        <v/>
      </c>
      <c r="F6" s="23">
        <f>IF(E6="",IF(AND(3=1,$B$4&lt;&gt;""),"No mentor with open slots",""),INDEX($B$18:$B$167,MATCH(E6,$A$18:$A$167,0)))</f>
        <v/>
      </c>
      <c r="G6" s="9">
        <f>IF(E6="","",INDEX($C$18:$C$167,MATCH(E6,$A$18:$A$167,0)))</f>
        <v/>
      </c>
      <c r="H6" s="9">
        <f>IF(E6="","",INDEX($J$18:$J$167,MATCH(E6,$A$18:$A$167,0)))</f>
        <v/>
      </c>
      <c r="I6" s="9">
        <f>IF(E6="","",INDEX($D$18:$D$167,MATCH(E6,$A$18:$A$167,0)))</f>
        <v/>
      </c>
      <c r="J6" s="9">
        <f>IF(E6="","",IFERROR(INDEX(Mentors!$P$2:$P$151,MATCH(E6,Mentors!$A$2:$A$151,0)),""))</f>
        <v/>
      </c>
    </row>
    <row r="7">
      <c r="A7" s="5" t="inlineStr">
        <is>
          <t>Dept wanted</t>
        </is>
      </c>
      <c r="B7" s="22">
        <f>IF($B$3="","",IFERROR(INDEX(Mentees!$G$2:$G$301,MATCH($B$3,Mentees!$A$2:$A$301,0))&amp;"",""))</f>
        <v/>
      </c>
    </row>
    <row r="8">
      <c r="A8" s="5" t="inlineStr">
        <is>
          <t>Keyword 1</t>
        </is>
      </c>
      <c r="B8" s="22">
        <f>IF($B$3="","",IFERROR(INDEX(Mentees!$H$2:$H$301,MATCH($B$3,Mentees!$A$2:$A$301,0))&amp;"",""))</f>
        <v/>
      </c>
      <c r="D8" s="2" t="inlineStr">
        <is>
          <t>Ties go to the mentor who registered first. If the mentee shows Matched, they already have a pairing.</t>
        </is>
      </c>
    </row>
    <row r="9">
      <c r="A9" s="5" t="inlineStr">
        <is>
          <t>Keyword 2</t>
        </is>
      </c>
      <c r="B9" s="22">
        <f>IF($B$3="","",IFERROR(INDEX(Mentees!$I$2:$I$301,MATCH($B$3,Mentees!$A$2:$A$301,0))&amp;"",""))</f>
        <v/>
      </c>
    </row>
    <row r="10">
      <c r="A10" s="5" t="inlineStr">
        <is>
          <t>Keyword 3</t>
        </is>
      </c>
      <c r="B10" s="22">
        <f>IF($B$3="","",IFERROR(INDEX(Mentees!$J$2:$J$301,MATCH($B$3,Mentees!$A$2:$A$301,0))&amp;"",""))</f>
        <v/>
      </c>
    </row>
    <row r="11">
      <c r="A11" s="5" t="inlineStr">
        <is>
          <t>Career goals</t>
        </is>
      </c>
      <c r="B11" s="22">
        <f>IF($B$3="","",IFERROR(INDEX(Mentees!$K$2:$K$301,MATCH($B$3,Mentees!$A$2:$A$301,0))&amp;"",""))</f>
        <v/>
      </c>
    </row>
    <row r="12">
      <c r="A12" s="5" t="inlineStr">
        <is>
          <t>Availability</t>
        </is>
      </c>
      <c r="B12" s="22">
        <f>IF($B$3="","",IFERROR(INDEX(Mentees!$L$2:$L$301,MATCH($B$3,Mentees!$A$2:$A$301,0))&amp;"",""))</f>
        <v/>
      </c>
    </row>
    <row r="13">
      <c r="A13" s="5" t="inlineStr">
        <is>
          <t>Format</t>
        </is>
      </c>
      <c r="B13" s="22">
        <f>IF($B$3="","",IFERROR(INDEX(Mentees!$M$2:$M$301,MATCH($B$3,Mentees!$A$2:$A$301,0))&amp;"",""))</f>
        <v/>
      </c>
    </row>
    <row r="14">
      <c r="A14" s="5" t="inlineStr">
        <is>
          <t>Match status</t>
        </is>
      </c>
      <c r="B14" s="22">
        <f>IF($B$3="","",IFERROR(INDEX(Mentees!$P$2:$P$301,MATCH($B$3,Mentees!$A$2:$A$301,0))&amp;"",""))</f>
        <v/>
      </c>
    </row>
    <row r="15">
      <c r="A15" s="8" t="n"/>
    </row>
    <row r="16">
      <c r="A16" s="8" t="inlineStr">
        <is>
          <t>All mentors scored for this mentee</t>
        </is>
      </c>
    </row>
    <row r="17" ht="30" customHeight="1">
      <c r="A17" s="13" t="inlineStr">
        <is>
          <t>Mentor ID</t>
        </is>
      </c>
      <c r="B17" s="13" t="inlineStr">
        <is>
          <t>Mentor</t>
        </is>
      </c>
      <c r="C17" s="13" t="inlineStr">
        <is>
          <t>Department</t>
        </is>
      </c>
      <c r="D17" s="13" t="inlineStr">
        <is>
          <t>Open slots</t>
        </is>
      </c>
      <c r="E17" s="13" t="inlineStr">
        <is>
          <t>Dept pts</t>
        </is>
      </c>
      <c r="F17" s="13" t="inlineStr">
        <is>
          <t>Interest pts</t>
        </is>
      </c>
      <c r="G17" s="13" t="inlineStr">
        <is>
          <t>Career pts</t>
        </is>
      </c>
      <c r="H17" s="13" t="inlineStr">
        <is>
          <t>Availability pts</t>
        </is>
      </c>
      <c r="I17" s="13" t="inlineStr">
        <is>
          <t>Format pts</t>
        </is>
      </c>
      <c r="J17" s="13" t="inlineStr">
        <is>
          <t>Total score</t>
        </is>
      </c>
      <c r="K17" s="13" t="inlineStr">
        <is>
          <t>Rank key</t>
        </is>
      </c>
    </row>
    <row r="18">
      <c r="A18" s="24">
        <f>IF(Mentors!$D2="","",Mentors!$A2)</f>
        <v/>
      </c>
      <c r="B18" s="24">
        <f>IF(Mentors!$D2="","",Mentors!$D2)</f>
        <v/>
      </c>
      <c r="C18" s="24">
        <f>IF($B18="","",Mentors!$F2&amp;"")</f>
        <v/>
      </c>
      <c r="D18" s="24">
        <f>IF($B18="","",Mentors!$O2)</f>
        <v/>
      </c>
      <c r="E18" s="24">
        <f>IF(OR($B18="",$B$4=""),"",IF(AND($C18&lt;&gt;"",$C18=$B$7),Settings!$B$7,0))</f>
        <v/>
      </c>
      <c r="F18" s="24">
        <f>IF(OR($B18="",$B$4=""),"",Settings!$B$8*(($B$8&lt;&gt;"")*ISNUMBER(SEARCH($B$8,Mentors!$G2))+($B$9&lt;&gt;"")*ISNUMBER(SEARCH($B$9,Mentors!$G2))+($B$10&lt;&gt;"")*ISNUMBER(SEARCH($B$10,Mentors!$G2))))</f>
        <v/>
      </c>
      <c r="G18" s="24">
        <f>IF(OR($B18="",$B$4=""),"",Settings!$B$9*SUMPRODUCT(ISNUMBER(SEARCH(Settings!$G$4:$G$12,$B$11))*ISNUMBER(SEARCH(Settings!$G$4:$G$12,Mentors!$H2))))</f>
        <v/>
      </c>
      <c r="H18" s="24">
        <f>IF(OR($B18="",$B$4=""),"",Settings!$B$10*SUMPRODUCT(ISNUMBER(SEARCH(Settings!$H$4:$H$7,$B$12))*ISNUMBER(SEARCH(Settings!$H$4:$H$7,Mentors!$I2))))</f>
        <v/>
      </c>
      <c r="I18" s="24">
        <f>IF(OR($B18="",$B$4=""),"",IF(OR($B$13="",$B$13="Either",Mentors!$J2="Either",$B$13=Mentors!$J2),Settings!$B$11,0))</f>
        <v/>
      </c>
      <c r="J18" s="25">
        <f>IF(OR($B18="",$B$4=""),"",SUM(E18:I18))</f>
        <v/>
      </c>
      <c r="K18" s="26">
        <f>IF(J18="",-1,IF(N(D18)&lt;=0,-1,J18+(1000-ROW())/100000))</f>
        <v/>
      </c>
    </row>
    <row r="19">
      <c r="A19" s="24">
        <f>IF(Mentors!$D3="","",Mentors!$A3)</f>
        <v/>
      </c>
      <c r="B19" s="24">
        <f>IF(Mentors!$D3="","",Mentors!$D3)</f>
        <v/>
      </c>
      <c r="C19" s="24">
        <f>IF($B19="","",Mentors!$F3&amp;"")</f>
        <v/>
      </c>
      <c r="D19" s="24">
        <f>IF($B19="","",Mentors!$O3)</f>
        <v/>
      </c>
      <c r="E19" s="24">
        <f>IF(OR($B19="",$B$4=""),"",IF(AND($C19&lt;&gt;"",$C19=$B$7),Settings!$B$7,0))</f>
        <v/>
      </c>
      <c r="F19" s="24">
        <f>IF(OR($B19="",$B$4=""),"",Settings!$B$8*(($B$8&lt;&gt;"")*ISNUMBER(SEARCH($B$8,Mentors!$G3))+($B$9&lt;&gt;"")*ISNUMBER(SEARCH($B$9,Mentors!$G3))+($B$10&lt;&gt;"")*ISNUMBER(SEARCH($B$10,Mentors!$G3))))</f>
        <v/>
      </c>
      <c r="G19" s="24">
        <f>IF(OR($B19="",$B$4=""),"",Settings!$B$9*SUMPRODUCT(ISNUMBER(SEARCH(Settings!$G$4:$G$12,$B$11))*ISNUMBER(SEARCH(Settings!$G$4:$G$12,Mentors!$H3))))</f>
        <v/>
      </c>
      <c r="H19" s="24">
        <f>IF(OR($B19="",$B$4=""),"",Settings!$B$10*SUMPRODUCT(ISNUMBER(SEARCH(Settings!$H$4:$H$7,$B$12))*ISNUMBER(SEARCH(Settings!$H$4:$H$7,Mentors!$I3))))</f>
        <v/>
      </c>
      <c r="I19" s="24">
        <f>IF(OR($B19="",$B$4=""),"",IF(OR($B$13="",$B$13="Either",Mentors!$J3="Either",$B$13=Mentors!$J3),Settings!$B$11,0))</f>
        <v/>
      </c>
      <c r="J19" s="25">
        <f>IF(OR($B19="",$B$4=""),"",SUM(E19:I19))</f>
        <v/>
      </c>
      <c r="K19" s="26">
        <f>IF(J19="",-1,IF(N(D19)&lt;=0,-1,J19+(1000-ROW())/100000))</f>
        <v/>
      </c>
    </row>
    <row r="20">
      <c r="A20" s="24">
        <f>IF(Mentors!$D4="","",Mentors!$A4)</f>
        <v/>
      </c>
      <c r="B20" s="24">
        <f>IF(Mentors!$D4="","",Mentors!$D4)</f>
        <v/>
      </c>
      <c r="C20" s="24">
        <f>IF($B20="","",Mentors!$F4&amp;"")</f>
        <v/>
      </c>
      <c r="D20" s="24">
        <f>IF($B20="","",Mentors!$O4)</f>
        <v/>
      </c>
      <c r="E20" s="24">
        <f>IF(OR($B20="",$B$4=""),"",IF(AND($C20&lt;&gt;"",$C20=$B$7),Settings!$B$7,0))</f>
        <v/>
      </c>
      <c r="F20" s="24">
        <f>IF(OR($B20="",$B$4=""),"",Settings!$B$8*(($B$8&lt;&gt;"")*ISNUMBER(SEARCH($B$8,Mentors!$G4))+($B$9&lt;&gt;"")*ISNUMBER(SEARCH($B$9,Mentors!$G4))+($B$10&lt;&gt;"")*ISNUMBER(SEARCH($B$10,Mentors!$G4))))</f>
        <v/>
      </c>
      <c r="G20" s="24">
        <f>IF(OR($B20="",$B$4=""),"",Settings!$B$9*SUMPRODUCT(ISNUMBER(SEARCH(Settings!$G$4:$G$12,$B$11))*ISNUMBER(SEARCH(Settings!$G$4:$G$12,Mentors!$H4))))</f>
        <v/>
      </c>
      <c r="H20" s="24">
        <f>IF(OR($B20="",$B$4=""),"",Settings!$B$10*SUMPRODUCT(ISNUMBER(SEARCH(Settings!$H$4:$H$7,$B$12))*ISNUMBER(SEARCH(Settings!$H$4:$H$7,Mentors!$I4))))</f>
        <v/>
      </c>
      <c r="I20" s="24">
        <f>IF(OR($B20="",$B$4=""),"",IF(OR($B$13="",$B$13="Either",Mentors!$J4="Either",$B$13=Mentors!$J4),Settings!$B$11,0))</f>
        <v/>
      </c>
      <c r="J20" s="25">
        <f>IF(OR($B20="",$B$4=""),"",SUM(E20:I20))</f>
        <v/>
      </c>
      <c r="K20" s="26">
        <f>IF(J20="",-1,IF(N(D20)&lt;=0,-1,J20+(1000-ROW())/100000))</f>
        <v/>
      </c>
    </row>
    <row r="21">
      <c r="A21" s="24">
        <f>IF(Mentors!$D5="","",Mentors!$A5)</f>
        <v/>
      </c>
      <c r="B21" s="24">
        <f>IF(Mentors!$D5="","",Mentors!$D5)</f>
        <v/>
      </c>
      <c r="C21" s="24">
        <f>IF($B21="","",Mentors!$F5&amp;"")</f>
        <v/>
      </c>
      <c r="D21" s="24">
        <f>IF($B21="","",Mentors!$O5)</f>
        <v/>
      </c>
      <c r="E21" s="24">
        <f>IF(OR($B21="",$B$4=""),"",IF(AND($C21&lt;&gt;"",$C21=$B$7),Settings!$B$7,0))</f>
        <v/>
      </c>
      <c r="F21" s="24">
        <f>IF(OR($B21="",$B$4=""),"",Settings!$B$8*(($B$8&lt;&gt;"")*ISNUMBER(SEARCH($B$8,Mentors!$G5))+($B$9&lt;&gt;"")*ISNUMBER(SEARCH($B$9,Mentors!$G5))+($B$10&lt;&gt;"")*ISNUMBER(SEARCH($B$10,Mentors!$G5))))</f>
        <v/>
      </c>
      <c r="G21" s="24">
        <f>IF(OR($B21="",$B$4=""),"",Settings!$B$9*SUMPRODUCT(ISNUMBER(SEARCH(Settings!$G$4:$G$12,$B$11))*ISNUMBER(SEARCH(Settings!$G$4:$G$12,Mentors!$H5))))</f>
        <v/>
      </c>
      <c r="H21" s="24">
        <f>IF(OR($B21="",$B$4=""),"",Settings!$B$10*SUMPRODUCT(ISNUMBER(SEARCH(Settings!$H$4:$H$7,$B$12))*ISNUMBER(SEARCH(Settings!$H$4:$H$7,Mentors!$I5))))</f>
        <v/>
      </c>
      <c r="I21" s="24">
        <f>IF(OR($B21="",$B$4=""),"",IF(OR($B$13="",$B$13="Either",Mentors!$J5="Either",$B$13=Mentors!$J5),Settings!$B$11,0))</f>
        <v/>
      </c>
      <c r="J21" s="25">
        <f>IF(OR($B21="",$B$4=""),"",SUM(E21:I21))</f>
        <v/>
      </c>
      <c r="K21" s="26">
        <f>IF(J21="",-1,IF(N(D21)&lt;=0,-1,J21+(1000-ROW())/100000))</f>
        <v/>
      </c>
    </row>
    <row r="22">
      <c r="A22" s="24">
        <f>IF(Mentors!$D6="","",Mentors!$A6)</f>
        <v/>
      </c>
      <c r="B22" s="24">
        <f>IF(Mentors!$D6="","",Mentors!$D6)</f>
        <v/>
      </c>
      <c r="C22" s="24">
        <f>IF($B22="","",Mentors!$F6&amp;"")</f>
        <v/>
      </c>
      <c r="D22" s="24">
        <f>IF($B22="","",Mentors!$O6)</f>
        <v/>
      </c>
      <c r="E22" s="24">
        <f>IF(OR($B22="",$B$4=""),"",IF(AND($C22&lt;&gt;"",$C22=$B$7),Settings!$B$7,0))</f>
        <v/>
      </c>
      <c r="F22" s="24">
        <f>IF(OR($B22="",$B$4=""),"",Settings!$B$8*(($B$8&lt;&gt;"")*ISNUMBER(SEARCH($B$8,Mentors!$G6))+($B$9&lt;&gt;"")*ISNUMBER(SEARCH($B$9,Mentors!$G6))+($B$10&lt;&gt;"")*ISNUMBER(SEARCH($B$10,Mentors!$G6))))</f>
        <v/>
      </c>
      <c r="G22" s="24">
        <f>IF(OR($B22="",$B$4=""),"",Settings!$B$9*SUMPRODUCT(ISNUMBER(SEARCH(Settings!$G$4:$G$12,$B$11))*ISNUMBER(SEARCH(Settings!$G$4:$G$12,Mentors!$H6))))</f>
        <v/>
      </c>
      <c r="H22" s="24">
        <f>IF(OR($B22="",$B$4=""),"",Settings!$B$10*SUMPRODUCT(ISNUMBER(SEARCH(Settings!$H$4:$H$7,$B$12))*ISNUMBER(SEARCH(Settings!$H$4:$H$7,Mentors!$I6))))</f>
        <v/>
      </c>
      <c r="I22" s="24">
        <f>IF(OR($B22="",$B$4=""),"",IF(OR($B$13="",$B$13="Either",Mentors!$J6="Either",$B$13=Mentors!$J6),Settings!$B$11,0))</f>
        <v/>
      </c>
      <c r="J22" s="25">
        <f>IF(OR($B22="",$B$4=""),"",SUM(E22:I22))</f>
        <v/>
      </c>
      <c r="K22" s="26">
        <f>IF(J22="",-1,IF(N(D22)&lt;=0,-1,J22+(1000-ROW())/100000))</f>
        <v/>
      </c>
    </row>
    <row r="23">
      <c r="A23" s="24">
        <f>IF(Mentors!$D7="","",Mentors!$A7)</f>
        <v/>
      </c>
      <c r="B23" s="24">
        <f>IF(Mentors!$D7="","",Mentors!$D7)</f>
        <v/>
      </c>
      <c r="C23" s="24">
        <f>IF($B23="","",Mentors!$F7&amp;"")</f>
        <v/>
      </c>
      <c r="D23" s="24">
        <f>IF($B23="","",Mentors!$O7)</f>
        <v/>
      </c>
      <c r="E23" s="24">
        <f>IF(OR($B23="",$B$4=""),"",IF(AND($C23&lt;&gt;"",$C23=$B$7),Settings!$B$7,0))</f>
        <v/>
      </c>
      <c r="F23" s="24">
        <f>IF(OR($B23="",$B$4=""),"",Settings!$B$8*(($B$8&lt;&gt;"")*ISNUMBER(SEARCH($B$8,Mentors!$G7))+($B$9&lt;&gt;"")*ISNUMBER(SEARCH($B$9,Mentors!$G7))+($B$10&lt;&gt;"")*ISNUMBER(SEARCH($B$10,Mentors!$G7))))</f>
        <v/>
      </c>
      <c r="G23" s="24">
        <f>IF(OR($B23="",$B$4=""),"",Settings!$B$9*SUMPRODUCT(ISNUMBER(SEARCH(Settings!$G$4:$G$12,$B$11))*ISNUMBER(SEARCH(Settings!$G$4:$G$12,Mentors!$H7))))</f>
        <v/>
      </c>
      <c r="H23" s="24">
        <f>IF(OR($B23="",$B$4=""),"",Settings!$B$10*SUMPRODUCT(ISNUMBER(SEARCH(Settings!$H$4:$H$7,$B$12))*ISNUMBER(SEARCH(Settings!$H$4:$H$7,Mentors!$I7))))</f>
        <v/>
      </c>
      <c r="I23" s="24">
        <f>IF(OR($B23="",$B$4=""),"",IF(OR($B$13="",$B$13="Either",Mentors!$J7="Either",$B$13=Mentors!$J7),Settings!$B$11,0))</f>
        <v/>
      </c>
      <c r="J23" s="25">
        <f>IF(OR($B23="",$B$4=""),"",SUM(E23:I23))</f>
        <v/>
      </c>
      <c r="K23" s="26">
        <f>IF(J23="",-1,IF(N(D23)&lt;=0,-1,J23+(1000-ROW())/100000))</f>
        <v/>
      </c>
    </row>
    <row r="24">
      <c r="A24" s="24">
        <f>IF(Mentors!$D8="","",Mentors!$A8)</f>
        <v/>
      </c>
      <c r="B24" s="24">
        <f>IF(Mentors!$D8="","",Mentors!$D8)</f>
        <v/>
      </c>
      <c r="C24" s="24">
        <f>IF($B24="","",Mentors!$F8&amp;"")</f>
        <v/>
      </c>
      <c r="D24" s="24">
        <f>IF($B24="","",Mentors!$O8)</f>
        <v/>
      </c>
      <c r="E24" s="24">
        <f>IF(OR($B24="",$B$4=""),"",IF(AND($C24&lt;&gt;"",$C24=$B$7),Settings!$B$7,0))</f>
        <v/>
      </c>
      <c r="F24" s="24">
        <f>IF(OR($B24="",$B$4=""),"",Settings!$B$8*(($B$8&lt;&gt;"")*ISNUMBER(SEARCH($B$8,Mentors!$G8))+($B$9&lt;&gt;"")*ISNUMBER(SEARCH($B$9,Mentors!$G8))+($B$10&lt;&gt;"")*ISNUMBER(SEARCH($B$10,Mentors!$G8))))</f>
        <v/>
      </c>
      <c r="G24" s="24">
        <f>IF(OR($B24="",$B$4=""),"",Settings!$B$9*SUMPRODUCT(ISNUMBER(SEARCH(Settings!$G$4:$G$12,$B$11))*ISNUMBER(SEARCH(Settings!$G$4:$G$12,Mentors!$H8))))</f>
        <v/>
      </c>
      <c r="H24" s="24">
        <f>IF(OR($B24="",$B$4=""),"",Settings!$B$10*SUMPRODUCT(ISNUMBER(SEARCH(Settings!$H$4:$H$7,$B$12))*ISNUMBER(SEARCH(Settings!$H$4:$H$7,Mentors!$I8))))</f>
        <v/>
      </c>
      <c r="I24" s="24">
        <f>IF(OR($B24="",$B$4=""),"",IF(OR($B$13="",$B$13="Either",Mentors!$J8="Either",$B$13=Mentors!$J8),Settings!$B$11,0))</f>
        <v/>
      </c>
      <c r="J24" s="25">
        <f>IF(OR($B24="",$B$4=""),"",SUM(E24:I24))</f>
        <v/>
      </c>
      <c r="K24" s="26">
        <f>IF(J24="",-1,IF(N(D24)&lt;=0,-1,J24+(1000-ROW())/100000))</f>
        <v/>
      </c>
    </row>
    <row r="25">
      <c r="A25" s="24">
        <f>IF(Mentors!$D9="","",Mentors!$A9)</f>
        <v/>
      </c>
      <c r="B25" s="24">
        <f>IF(Mentors!$D9="","",Mentors!$D9)</f>
        <v/>
      </c>
      <c r="C25" s="24">
        <f>IF($B25="","",Mentors!$F9&amp;"")</f>
        <v/>
      </c>
      <c r="D25" s="24">
        <f>IF($B25="","",Mentors!$O9)</f>
        <v/>
      </c>
      <c r="E25" s="24">
        <f>IF(OR($B25="",$B$4=""),"",IF(AND($C25&lt;&gt;"",$C25=$B$7),Settings!$B$7,0))</f>
        <v/>
      </c>
      <c r="F25" s="24">
        <f>IF(OR($B25="",$B$4=""),"",Settings!$B$8*(($B$8&lt;&gt;"")*ISNUMBER(SEARCH($B$8,Mentors!$G9))+($B$9&lt;&gt;"")*ISNUMBER(SEARCH($B$9,Mentors!$G9))+($B$10&lt;&gt;"")*ISNUMBER(SEARCH($B$10,Mentors!$G9))))</f>
        <v/>
      </c>
      <c r="G25" s="24">
        <f>IF(OR($B25="",$B$4=""),"",Settings!$B$9*SUMPRODUCT(ISNUMBER(SEARCH(Settings!$G$4:$G$12,$B$11))*ISNUMBER(SEARCH(Settings!$G$4:$G$12,Mentors!$H9))))</f>
        <v/>
      </c>
      <c r="H25" s="24">
        <f>IF(OR($B25="",$B$4=""),"",Settings!$B$10*SUMPRODUCT(ISNUMBER(SEARCH(Settings!$H$4:$H$7,$B$12))*ISNUMBER(SEARCH(Settings!$H$4:$H$7,Mentors!$I9))))</f>
        <v/>
      </c>
      <c r="I25" s="24">
        <f>IF(OR($B25="",$B$4=""),"",IF(OR($B$13="",$B$13="Either",Mentors!$J9="Either",$B$13=Mentors!$J9),Settings!$B$11,0))</f>
        <v/>
      </c>
      <c r="J25" s="25">
        <f>IF(OR($B25="",$B$4=""),"",SUM(E25:I25))</f>
        <v/>
      </c>
      <c r="K25" s="26">
        <f>IF(J25="",-1,IF(N(D25)&lt;=0,-1,J25+(1000-ROW())/100000))</f>
        <v/>
      </c>
    </row>
    <row r="26">
      <c r="A26" s="24">
        <f>IF(Mentors!$D10="","",Mentors!$A10)</f>
        <v/>
      </c>
      <c r="B26" s="24">
        <f>IF(Mentors!$D10="","",Mentors!$D10)</f>
        <v/>
      </c>
      <c r="C26" s="24">
        <f>IF($B26="","",Mentors!$F10&amp;"")</f>
        <v/>
      </c>
      <c r="D26" s="24">
        <f>IF($B26="","",Mentors!$O10)</f>
        <v/>
      </c>
      <c r="E26" s="24">
        <f>IF(OR($B26="",$B$4=""),"",IF(AND($C26&lt;&gt;"",$C26=$B$7),Settings!$B$7,0))</f>
        <v/>
      </c>
      <c r="F26" s="24">
        <f>IF(OR($B26="",$B$4=""),"",Settings!$B$8*(($B$8&lt;&gt;"")*ISNUMBER(SEARCH($B$8,Mentors!$G10))+($B$9&lt;&gt;"")*ISNUMBER(SEARCH($B$9,Mentors!$G10))+($B$10&lt;&gt;"")*ISNUMBER(SEARCH($B$10,Mentors!$G10))))</f>
        <v/>
      </c>
      <c r="G26" s="24">
        <f>IF(OR($B26="",$B$4=""),"",Settings!$B$9*SUMPRODUCT(ISNUMBER(SEARCH(Settings!$G$4:$G$12,$B$11))*ISNUMBER(SEARCH(Settings!$G$4:$G$12,Mentors!$H10))))</f>
        <v/>
      </c>
      <c r="H26" s="24">
        <f>IF(OR($B26="",$B$4=""),"",Settings!$B$10*SUMPRODUCT(ISNUMBER(SEARCH(Settings!$H$4:$H$7,$B$12))*ISNUMBER(SEARCH(Settings!$H$4:$H$7,Mentors!$I10))))</f>
        <v/>
      </c>
      <c r="I26" s="24">
        <f>IF(OR($B26="",$B$4=""),"",IF(OR($B$13="",$B$13="Either",Mentors!$J10="Either",$B$13=Mentors!$J10),Settings!$B$11,0))</f>
        <v/>
      </c>
      <c r="J26" s="25">
        <f>IF(OR($B26="",$B$4=""),"",SUM(E26:I26))</f>
        <v/>
      </c>
      <c r="K26" s="26">
        <f>IF(J26="",-1,IF(N(D26)&lt;=0,-1,J26+(1000-ROW())/100000))</f>
        <v/>
      </c>
    </row>
    <row r="27">
      <c r="A27" s="24">
        <f>IF(Mentors!$D11="","",Mentors!$A11)</f>
        <v/>
      </c>
      <c r="B27" s="24">
        <f>IF(Mentors!$D11="","",Mentors!$D11)</f>
        <v/>
      </c>
      <c r="C27" s="24">
        <f>IF($B27="","",Mentors!$F11&amp;"")</f>
        <v/>
      </c>
      <c r="D27" s="24">
        <f>IF($B27="","",Mentors!$O11)</f>
        <v/>
      </c>
      <c r="E27" s="24">
        <f>IF(OR($B27="",$B$4=""),"",IF(AND($C27&lt;&gt;"",$C27=$B$7),Settings!$B$7,0))</f>
        <v/>
      </c>
      <c r="F27" s="24">
        <f>IF(OR($B27="",$B$4=""),"",Settings!$B$8*(($B$8&lt;&gt;"")*ISNUMBER(SEARCH($B$8,Mentors!$G11))+($B$9&lt;&gt;"")*ISNUMBER(SEARCH($B$9,Mentors!$G11))+($B$10&lt;&gt;"")*ISNUMBER(SEARCH($B$10,Mentors!$G11))))</f>
        <v/>
      </c>
      <c r="G27" s="24">
        <f>IF(OR($B27="",$B$4=""),"",Settings!$B$9*SUMPRODUCT(ISNUMBER(SEARCH(Settings!$G$4:$G$12,$B$11))*ISNUMBER(SEARCH(Settings!$G$4:$G$12,Mentors!$H11))))</f>
        <v/>
      </c>
      <c r="H27" s="24">
        <f>IF(OR($B27="",$B$4=""),"",Settings!$B$10*SUMPRODUCT(ISNUMBER(SEARCH(Settings!$H$4:$H$7,$B$12))*ISNUMBER(SEARCH(Settings!$H$4:$H$7,Mentors!$I11))))</f>
        <v/>
      </c>
      <c r="I27" s="24">
        <f>IF(OR($B27="",$B$4=""),"",IF(OR($B$13="",$B$13="Either",Mentors!$J11="Either",$B$13=Mentors!$J11),Settings!$B$11,0))</f>
        <v/>
      </c>
      <c r="J27" s="25">
        <f>IF(OR($B27="",$B$4=""),"",SUM(E27:I27))</f>
        <v/>
      </c>
      <c r="K27" s="26">
        <f>IF(J27="",-1,IF(N(D27)&lt;=0,-1,J27+(1000-ROW())/100000))</f>
        <v/>
      </c>
    </row>
    <row r="28">
      <c r="A28" s="24">
        <f>IF(Mentors!$D12="","",Mentors!$A12)</f>
        <v/>
      </c>
      <c r="B28" s="24">
        <f>IF(Mentors!$D12="","",Mentors!$D12)</f>
        <v/>
      </c>
      <c r="C28" s="24">
        <f>IF($B28="","",Mentors!$F12&amp;"")</f>
        <v/>
      </c>
      <c r="D28" s="24">
        <f>IF($B28="","",Mentors!$O12)</f>
        <v/>
      </c>
      <c r="E28" s="24">
        <f>IF(OR($B28="",$B$4=""),"",IF(AND($C28&lt;&gt;"",$C28=$B$7),Settings!$B$7,0))</f>
        <v/>
      </c>
      <c r="F28" s="24">
        <f>IF(OR($B28="",$B$4=""),"",Settings!$B$8*(($B$8&lt;&gt;"")*ISNUMBER(SEARCH($B$8,Mentors!$G12))+($B$9&lt;&gt;"")*ISNUMBER(SEARCH($B$9,Mentors!$G12))+($B$10&lt;&gt;"")*ISNUMBER(SEARCH($B$10,Mentors!$G12))))</f>
        <v/>
      </c>
      <c r="G28" s="24">
        <f>IF(OR($B28="",$B$4=""),"",Settings!$B$9*SUMPRODUCT(ISNUMBER(SEARCH(Settings!$G$4:$G$12,$B$11))*ISNUMBER(SEARCH(Settings!$G$4:$G$12,Mentors!$H12))))</f>
        <v/>
      </c>
      <c r="H28" s="24">
        <f>IF(OR($B28="",$B$4=""),"",Settings!$B$10*SUMPRODUCT(ISNUMBER(SEARCH(Settings!$H$4:$H$7,$B$12))*ISNUMBER(SEARCH(Settings!$H$4:$H$7,Mentors!$I12))))</f>
        <v/>
      </c>
      <c r="I28" s="24">
        <f>IF(OR($B28="",$B$4=""),"",IF(OR($B$13="",$B$13="Either",Mentors!$J12="Either",$B$13=Mentors!$J12),Settings!$B$11,0))</f>
        <v/>
      </c>
      <c r="J28" s="25">
        <f>IF(OR($B28="",$B$4=""),"",SUM(E28:I28))</f>
        <v/>
      </c>
      <c r="K28" s="26">
        <f>IF(J28="",-1,IF(N(D28)&lt;=0,-1,J28+(1000-ROW())/100000))</f>
        <v/>
      </c>
    </row>
    <row r="29">
      <c r="A29" s="24">
        <f>IF(Mentors!$D13="","",Mentors!$A13)</f>
        <v/>
      </c>
      <c r="B29" s="24">
        <f>IF(Mentors!$D13="","",Mentors!$D13)</f>
        <v/>
      </c>
      <c r="C29" s="24">
        <f>IF($B29="","",Mentors!$F13&amp;"")</f>
        <v/>
      </c>
      <c r="D29" s="24">
        <f>IF($B29="","",Mentors!$O13)</f>
        <v/>
      </c>
      <c r="E29" s="24">
        <f>IF(OR($B29="",$B$4=""),"",IF(AND($C29&lt;&gt;"",$C29=$B$7),Settings!$B$7,0))</f>
        <v/>
      </c>
      <c r="F29" s="24">
        <f>IF(OR($B29="",$B$4=""),"",Settings!$B$8*(($B$8&lt;&gt;"")*ISNUMBER(SEARCH($B$8,Mentors!$G13))+($B$9&lt;&gt;"")*ISNUMBER(SEARCH($B$9,Mentors!$G13))+($B$10&lt;&gt;"")*ISNUMBER(SEARCH($B$10,Mentors!$G13))))</f>
        <v/>
      </c>
      <c r="G29" s="24">
        <f>IF(OR($B29="",$B$4=""),"",Settings!$B$9*SUMPRODUCT(ISNUMBER(SEARCH(Settings!$G$4:$G$12,$B$11))*ISNUMBER(SEARCH(Settings!$G$4:$G$12,Mentors!$H13))))</f>
        <v/>
      </c>
      <c r="H29" s="24">
        <f>IF(OR($B29="",$B$4=""),"",Settings!$B$10*SUMPRODUCT(ISNUMBER(SEARCH(Settings!$H$4:$H$7,$B$12))*ISNUMBER(SEARCH(Settings!$H$4:$H$7,Mentors!$I13))))</f>
        <v/>
      </c>
      <c r="I29" s="24">
        <f>IF(OR($B29="",$B$4=""),"",IF(OR($B$13="",$B$13="Either",Mentors!$J13="Either",$B$13=Mentors!$J13),Settings!$B$11,0))</f>
        <v/>
      </c>
      <c r="J29" s="25">
        <f>IF(OR($B29="",$B$4=""),"",SUM(E29:I29))</f>
        <v/>
      </c>
      <c r="K29" s="26">
        <f>IF(J29="",-1,IF(N(D29)&lt;=0,-1,J29+(1000-ROW())/100000))</f>
        <v/>
      </c>
    </row>
    <row r="30">
      <c r="A30" s="24">
        <f>IF(Mentors!$D14="","",Mentors!$A14)</f>
        <v/>
      </c>
      <c r="B30" s="24">
        <f>IF(Mentors!$D14="","",Mentors!$D14)</f>
        <v/>
      </c>
      <c r="C30" s="24">
        <f>IF($B30="","",Mentors!$F14&amp;"")</f>
        <v/>
      </c>
      <c r="D30" s="24">
        <f>IF($B30="","",Mentors!$O14)</f>
        <v/>
      </c>
      <c r="E30" s="24">
        <f>IF(OR($B30="",$B$4=""),"",IF(AND($C30&lt;&gt;"",$C30=$B$7),Settings!$B$7,0))</f>
        <v/>
      </c>
      <c r="F30" s="24">
        <f>IF(OR($B30="",$B$4=""),"",Settings!$B$8*(($B$8&lt;&gt;"")*ISNUMBER(SEARCH($B$8,Mentors!$G14))+($B$9&lt;&gt;"")*ISNUMBER(SEARCH($B$9,Mentors!$G14))+($B$10&lt;&gt;"")*ISNUMBER(SEARCH($B$10,Mentors!$G14))))</f>
        <v/>
      </c>
      <c r="G30" s="24">
        <f>IF(OR($B30="",$B$4=""),"",Settings!$B$9*SUMPRODUCT(ISNUMBER(SEARCH(Settings!$G$4:$G$12,$B$11))*ISNUMBER(SEARCH(Settings!$G$4:$G$12,Mentors!$H14))))</f>
        <v/>
      </c>
      <c r="H30" s="24">
        <f>IF(OR($B30="",$B$4=""),"",Settings!$B$10*SUMPRODUCT(ISNUMBER(SEARCH(Settings!$H$4:$H$7,$B$12))*ISNUMBER(SEARCH(Settings!$H$4:$H$7,Mentors!$I14))))</f>
        <v/>
      </c>
      <c r="I30" s="24">
        <f>IF(OR($B30="",$B$4=""),"",IF(OR($B$13="",$B$13="Either",Mentors!$J14="Either",$B$13=Mentors!$J14),Settings!$B$11,0))</f>
        <v/>
      </c>
      <c r="J30" s="25">
        <f>IF(OR($B30="",$B$4=""),"",SUM(E30:I30))</f>
        <v/>
      </c>
      <c r="K30" s="26">
        <f>IF(J30="",-1,IF(N(D30)&lt;=0,-1,J30+(1000-ROW())/100000))</f>
        <v/>
      </c>
    </row>
    <row r="31">
      <c r="A31" s="24">
        <f>IF(Mentors!$D15="","",Mentors!$A15)</f>
        <v/>
      </c>
      <c r="B31" s="24">
        <f>IF(Mentors!$D15="","",Mentors!$D15)</f>
        <v/>
      </c>
      <c r="C31" s="24">
        <f>IF($B31="","",Mentors!$F15&amp;"")</f>
        <v/>
      </c>
      <c r="D31" s="24">
        <f>IF($B31="","",Mentors!$O15)</f>
        <v/>
      </c>
      <c r="E31" s="24">
        <f>IF(OR($B31="",$B$4=""),"",IF(AND($C31&lt;&gt;"",$C31=$B$7),Settings!$B$7,0))</f>
        <v/>
      </c>
      <c r="F31" s="24">
        <f>IF(OR($B31="",$B$4=""),"",Settings!$B$8*(($B$8&lt;&gt;"")*ISNUMBER(SEARCH($B$8,Mentors!$G15))+($B$9&lt;&gt;"")*ISNUMBER(SEARCH($B$9,Mentors!$G15))+($B$10&lt;&gt;"")*ISNUMBER(SEARCH($B$10,Mentors!$G15))))</f>
        <v/>
      </c>
      <c r="G31" s="24">
        <f>IF(OR($B31="",$B$4=""),"",Settings!$B$9*SUMPRODUCT(ISNUMBER(SEARCH(Settings!$G$4:$G$12,$B$11))*ISNUMBER(SEARCH(Settings!$G$4:$G$12,Mentors!$H15))))</f>
        <v/>
      </c>
      <c r="H31" s="24">
        <f>IF(OR($B31="",$B$4=""),"",Settings!$B$10*SUMPRODUCT(ISNUMBER(SEARCH(Settings!$H$4:$H$7,$B$12))*ISNUMBER(SEARCH(Settings!$H$4:$H$7,Mentors!$I15))))</f>
        <v/>
      </c>
      <c r="I31" s="24">
        <f>IF(OR($B31="",$B$4=""),"",IF(OR($B$13="",$B$13="Either",Mentors!$J15="Either",$B$13=Mentors!$J15),Settings!$B$11,0))</f>
        <v/>
      </c>
      <c r="J31" s="25">
        <f>IF(OR($B31="",$B$4=""),"",SUM(E31:I31))</f>
        <v/>
      </c>
      <c r="K31" s="26">
        <f>IF(J31="",-1,IF(N(D31)&lt;=0,-1,J31+(1000-ROW())/100000))</f>
        <v/>
      </c>
    </row>
    <row r="32">
      <c r="A32" s="24">
        <f>IF(Mentors!$D16="","",Mentors!$A16)</f>
        <v/>
      </c>
      <c r="B32" s="24">
        <f>IF(Mentors!$D16="","",Mentors!$D16)</f>
        <v/>
      </c>
      <c r="C32" s="24">
        <f>IF($B32="","",Mentors!$F16&amp;"")</f>
        <v/>
      </c>
      <c r="D32" s="24">
        <f>IF($B32="","",Mentors!$O16)</f>
        <v/>
      </c>
      <c r="E32" s="24">
        <f>IF(OR($B32="",$B$4=""),"",IF(AND($C32&lt;&gt;"",$C32=$B$7),Settings!$B$7,0))</f>
        <v/>
      </c>
      <c r="F32" s="24">
        <f>IF(OR($B32="",$B$4=""),"",Settings!$B$8*(($B$8&lt;&gt;"")*ISNUMBER(SEARCH($B$8,Mentors!$G16))+($B$9&lt;&gt;"")*ISNUMBER(SEARCH($B$9,Mentors!$G16))+($B$10&lt;&gt;"")*ISNUMBER(SEARCH($B$10,Mentors!$G16))))</f>
        <v/>
      </c>
      <c r="G32" s="24">
        <f>IF(OR($B32="",$B$4=""),"",Settings!$B$9*SUMPRODUCT(ISNUMBER(SEARCH(Settings!$G$4:$G$12,$B$11))*ISNUMBER(SEARCH(Settings!$G$4:$G$12,Mentors!$H16))))</f>
        <v/>
      </c>
      <c r="H32" s="24">
        <f>IF(OR($B32="",$B$4=""),"",Settings!$B$10*SUMPRODUCT(ISNUMBER(SEARCH(Settings!$H$4:$H$7,$B$12))*ISNUMBER(SEARCH(Settings!$H$4:$H$7,Mentors!$I16))))</f>
        <v/>
      </c>
      <c r="I32" s="24">
        <f>IF(OR($B32="",$B$4=""),"",IF(OR($B$13="",$B$13="Either",Mentors!$J16="Either",$B$13=Mentors!$J16),Settings!$B$11,0))</f>
        <v/>
      </c>
      <c r="J32" s="25">
        <f>IF(OR($B32="",$B$4=""),"",SUM(E32:I32))</f>
        <v/>
      </c>
      <c r="K32" s="26">
        <f>IF(J32="",-1,IF(N(D32)&lt;=0,-1,J32+(1000-ROW())/100000))</f>
        <v/>
      </c>
    </row>
    <row r="33">
      <c r="A33" s="24">
        <f>IF(Mentors!$D17="","",Mentors!$A17)</f>
        <v/>
      </c>
      <c r="B33" s="24">
        <f>IF(Mentors!$D17="","",Mentors!$D17)</f>
        <v/>
      </c>
      <c r="C33" s="24">
        <f>IF($B33="","",Mentors!$F17&amp;"")</f>
        <v/>
      </c>
      <c r="D33" s="24">
        <f>IF($B33="","",Mentors!$O17)</f>
        <v/>
      </c>
      <c r="E33" s="24">
        <f>IF(OR($B33="",$B$4=""),"",IF(AND($C33&lt;&gt;"",$C33=$B$7),Settings!$B$7,0))</f>
        <v/>
      </c>
      <c r="F33" s="24">
        <f>IF(OR($B33="",$B$4=""),"",Settings!$B$8*(($B$8&lt;&gt;"")*ISNUMBER(SEARCH($B$8,Mentors!$G17))+($B$9&lt;&gt;"")*ISNUMBER(SEARCH($B$9,Mentors!$G17))+($B$10&lt;&gt;"")*ISNUMBER(SEARCH($B$10,Mentors!$G17))))</f>
        <v/>
      </c>
      <c r="G33" s="24">
        <f>IF(OR($B33="",$B$4=""),"",Settings!$B$9*SUMPRODUCT(ISNUMBER(SEARCH(Settings!$G$4:$G$12,$B$11))*ISNUMBER(SEARCH(Settings!$G$4:$G$12,Mentors!$H17))))</f>
        <v/>
      </c>
      <c r="H33" s="24">
        <f>IF(OR($B33="",$B$4=""),"",Settings!$B$10*SUMPRODUCT(ISNUMBER(SEARCH(Settings!$H$4:$H$7,$B$12))*ISNUMBER(SEARCH(Settings!$H$4:$H$7,Mentors!$I17))))</f>
        <v/>
      </c>
      <c r="I33" s="24">
        <f>IF(OR($B33="",$B$4=""),"",IF(OR($B$13="",$B$13="Either",Mentors!$J17="Either",$B$13=Mentors!$J17),Settings!$B$11,0))</f>
        <v/>
      </c>
      <c r="J33" s="25">
        <f>IF(OR($B33="",$B$4=""),"",SUM(E33:I33))</f>
        <v/>
      </c>
      <c r="K33" s="26">
        <f>IF(J33="",-1,IF(N(D33)&lt;=0,-1,J33+(1000-ROW())/100000))</f>
        <v/>
      </c>
    </row>
    <row r="34">
      <c r="A34" s="24">
        <f>IF(Mentors!$D18="","",Mentors!$A18)</f>
        <v/>
      </c>
      <c r="B34" s="24">
        <f>IF(Mentors!$D18="","",Mentors!$D18)</f>
        <v/>
      </c>
      <c r="C34" s="24">
        <f>IF($B34="","",Mentors!$F18&amp;"")</f>
        <v/>
      </c>
      <c r="D34" s="24">
        <f>IF($B34="","",Mentors!$O18)</f>
        <v/>
      </c>
      <c r="E34" s="24">
        <f>IF(OR($B34="",$B$4=""),"",IF(AND($C34&lt;&gt;"",$C34=$B$7),Settings!$B$7,0))</f>
        <v/>
      </c>
      <c r="F34" s="24">
        <f>IF(OR($B34="",$B$4=""),"",Settings!$B$8*(($B$8&lt;&gt;"")*ISNUMBER(SEARCH($B$8,Mentors!$G18))+($B$9&lt;&gt;"")*ISNUMBER(SEARCH($B$9,Mentors!$G18))+($B$10&lt;&gt;"")*ISNUMBER(SEARCH($B$10,Mentors!$G18))))</f>
        <v/>
      </c>
      <c r="G34" s="24">
        <f>IF(OR($B34="",$B$4=""),"",Settings!$B$9*SUMPRODUCT(ISNUMBER(SEARCH(Settings!$G$4:$G$12,$B$11))*ISNUMBER(SEARCH(Settings!$G$4:$G$12,Mentors!$H18))))</f>
        <v/>
      </c>
      <c r="H34" s="24">
        <f>IF(OR($B34="",$B$4=""),"",Settings!$B$10*SUMPRODUCT(ISNUMBER(SEARCH(Settings!$H$4:$H$7,$B$12))*ISNUMBER(SEARCH(Settings!$H$4:$H$7,Mentors!$I18))))</f>
        <v/>
      </c>
      <c r="I34" s="24">
        <f>IF(OR($B34="",$B$4=""),"",IF(OR($B$13="",$B$13="Either",Mentors!$J18="Either",$B$13=Mentors!$J18),Settings!$B$11,0))</f>
        <v/>
      </c>
      <c r="J34" s="25">
        <f>IF(OR($B34="",$B$4=""),"",SUM(E34:I34))</f>
        <v/>
      </c>
      <c r="K34" s="26">
        <f>IF(J34="",-1,IF(N(D34)&lt;=0,-1,J34+(1000-ROW())/100000))</f>
        <v/>
      </c>
    </row>
    <row r="35">
      <c r="A35" s="24">
        <f>IF(Mentors!$D19="","",Mentors!$A19)</f>
        <v/>
      </c>
      <c r="B35" s="24">
        <f>IF(Mentors!$D19="","",Mentors!$D19)</f>
        <v/>
      </c>
      <c r="C35" s="24">
        <f>IF($B35="","",Mentors!$F19&amp;"")</f>
        <v/>
      </c>
      <c r="D35" s="24">
        <f>IF($B35="","",Mentors!$O19)</f>
        <v/>
      </c>
      <c r="E35" s="24">
        <f>IF(OR($B35="",$B$4=""),"",IF(AND($C35&lt;&gt;"",$C35=$B$7),Settings!$B$7,0))</f>
        <v/>
      </c>
      <c r="F35" s="24">
        <f>IF(OR($B35="",$B$4=""),"",Settings!$B$8*(($B$8&lt;&gt;"")*ISNUMBER(SEARCH($B$8,Mentors!$G19))+($B$9&lt;&gt;"")*ISNUMBER(SEARCH($B$9,Mentors!$G19))+($B$10&lt;&gt;"")*ISNUMBER(SEARCH($B$10,Mentors!$G19))))</f>
        <v/>
      </c>
      <c r="G35" s="24">
        <f>IF(OR($B35="",$B$4=""),"",Settings!$B$9*SUMPRODUCT(ISNUMBER(SEARCH(Settings!$G$4:$G$12,$B$11))*ISNUMBER(SEARCH(Settings!$G$4:$G$12,Mentors!$H19))))</f>
        <v/>
      </c>
      <c r="H35" s="24">
        <f>IF(OR($B35="",$B$4=""),"",Settings!$B$10*SUMPRODUCT(ISNUMBER(SEARCH(Settings!$H$4:$H$7,$B$12))*ISNUMBER(SEARCH(Settings!$H$4:$H$7,Mentors!$I19))))</f>
        <v/>
      </c>
      <c r="I35" s="24">
        <f>IF(OR($B35="",$B$4=""),"",IF(OR($B$13="",$B$13="Either",Mentors!$J19="Either",$B$13=Mentors!$J19),Settings!$B$11,0))</f>
        <v/>
      </c>
      <c r="J35" s="25">
        <f>IF(OR($B35="",$B$4=""),"",SUM(E35:I35))</f>
        <v/>
      </c>
      <c r="K35" s="26">
        <f>IF(J35="",-1,IF(N(D35)&lt;=0,-1,J35+(1000-ROW())/100000))</f>
        <v/>
      </c>
    </row>
    <row r="36">
      <c r="A36" s="24">
        <f>IF(Mentors!$D20="","",Mentors!$A20)</f>
        <v/>
      </c>
      <c r="B36" s="24">
        <f>IF(Mentors!$D20="","",Mentors!$D20)</f>
        <v/>
      </c>
      <c r="C36" s="24">
        <f>IF($B36="","",Mentors!$F20&amp;"")</f>
        <v/>
      </c>
      <c r="D36" s="24">
        <f>IF($B36="","",Mentors!$O20)</f>
        <v/>
      </c>
      <c r="E36" s="24">
        <f>IF(OR($B36="",$B$4=""),"",IF(AND($C36&lt;&gt;"",$C36=$B$7),Settings!$B$7,0))</f>
        <v/>
      </c>
      <c r="F36" s="24">
        <f>IF(OR($B36="",$B$4=""),"",Settings!$B$8*(($B$8&lt;&gt;"")*ISNUMBER(SEARCH($B$8,Mentors!$G20))+($B$9&lt;&gt;"")*ISNUMBER(SEARCH($B$9,Mentors!$G20))+($B$10&lt;&gt;"")*ISNUMBER(SEARCH($B$10,Mentors!$G20))))</f>
        <v/>
      </c>
      <c r="G36" s="24">
        <f>IF(OR($B36="",$B$4=""),"",Settings!$B$9*SUMPRODUCT(ISNUMBER(SEARCH(Settings!$G$4:$G$12,$B$11))*ISNUMBER(SEARCH(Settings!$G$4:$G$12,Mentors!$H20))))</f>
        <v/>
      </c>
      <c r="H36" s="24">
        <f>IF(OR($B36="",$B$4=""),"",Settings!$B$10*SUMPRODUCT(ISNUMBER(SEARCH(Settings!$H$4:$H$7,$B$12))*ISNUMBER(SEARCH(Settings!$H$4:$H$7,Mentors!$I20))))</f>
        <v/>
      </c>
      <c r="I36" s="24">
        <f>IF(OR($B36="",$B$4=""),"",IF(OR($B$13="",$B$13="Either",Mentors!$J20="Either",$B$13=Mentors!$J20),Settings!$B$11,0))</f>
        <v/>
      </c>
      <c r="J36" s="25">
        <f>IF(OR($B36="",$B$4=""),"",SUM(E36:I36))</f>
        <v/>
      </c>
      <c r="K36" s="26">
        <f>IF(J36="",-1,IF(N(D36)&lt;=0,-1,J36+(1000-ROW())/100000))</f>
        <v/>
      </c>
    </row>
    <row r="37">
      <c r="A37" s="24">
        <f>IF(Mentors!$D21="","",Mentors!$A21)</f>
        <v/>
      </c>
      <c r="B37" s="24">
        <f>IF(Mentors!$D21="","",Mentors!$D21)</f>
        <v/>
      </c>
      <c r="C37" s="24">
        <f>IF($B37="","",Mentors!$F21&amp;"")</f>
        <v/>
      </c>
      <c r="D37" s="24">
        <f>IF($B37="","",Mentors!$O21)</f>
        <v/>
      </c>
      <c r="E37" s="24">
        <f>IF(OR($B37="",$B$4=""),"",IF(AND($C37&lt;&gt;"",$C37=$B$7),Settings!$B$7,0))</f>
        <v/>
      </c>
      <c r="F37" s="24">
        <f>IF(OR($B37="",$B$4=""),"",Settings!$B$8*(($B$8&lt;&gt;"")*ISNUMBER(SEARCH($B$8,Mentors!$G21))+($B$9&lt;&gt;"")*ISNUMBER(SEARCH($B$9,Mentors!$G21))+($B$10&lt;&gt;"")*ISNUMBER(SEARCH($B$10,Mentors!$G21))))</f>
        <v/>
      </c>
      <c r="G37" s="24">
        <f>IF(OR($B37="",$B$4=""),"",Settings!$B$9*SUMPRODUCT(ISNUMBER(SEARCH(Settings!$G$4:$G$12,$B$11))*ISNUMBER(SEARCH(Settings!$G$4:$G$12,Mentors!$H21))))</f>
        <v/>
      </c>
      <c r="H37" s="24">
        <f>IF(OR($B37="",$B$4=""),"",Settings!$B$10*SUMPRODUCT(ISNUMBER(SEARCH(Settings!$H$4:$H$7,$B$12))*ISNUMBER(SEARCH(Settings!$H$4:$H$7,Mentors!$I21))))</f>
        <v/>
      </c>
      <c r="I37" s="24">
        <f>IF(OR($B37="",$B$4=""),"",IF(OR($B$13="",$B$13="Either",Mentors!$J21="Either",$B$13=Mentors!$J21),Settings!$B$11,0))</f>
        <v/>
      </c>
      <c r="J37" s="25">
        <f>IF(OR($B37="",$B$4=""),"",SUM(E37:I37))</f>
        <v/>
      </c>
      <c r="K37" s="26">
        <f>IF(J37="",-1,IF(N(D37)&lt;=0,-1,J37+(1000-ROW())/100000))</f>
        <v/>
      </c>
    </row>
    <row r="38">
      <c r="A38" s="24">
        <f>IF(Mentors!$D22="","",Mentors!$A22)</f>
        <v/>
      </c>
      <c r="B38" s="24">
        <f>IF(Mentors!$D22="","",Mentors!$D22)</f>
        <v/>
      </c>
      <c r="C38" s="24">
        <f>IF($B38="","",Mentors!$F22&amp;"")</f>
        <v/>
      </c>
      <c r="D38" s="24">
        <f>IF($B38="","",Mentors!$O22)</f>
        <v/>
      </c>
      <c r="E38" s="24">
        <f>IF(OR($B38="",$B$4=""),"",IF(AND($C38&lt;&gt;"",$C38=$B$7),Settings!$B$7,0))</f>
        <v/>
      </c>
      <c r="F38" s="24">
        <f>IF(OR($B38="",$B$4=""),"",Settings!$B$8*(($B$8&lt;&gt;"")*ISNUMBER(SEARCH($B$8,Mentors!$G22))+($B$9&lt;&gt;"")*ISNUMBER(SEARCH($B$9,Mentors!$G22))+($B$10&lt;&gt;"")*ISNUMBER(SEARCH($B$10,Mentors!$G22))))</f>
        <v/>
      </c>
      <c r="G38" s="24">
        <f>IF(OR($B38="",$B$4=""),"",Settings!$B$9*SUMPRODUCT(ISNUMBER(SEARCH(Settings!$G$4:$G$12,$B$11))*ISNUMBER(SEARCH(Settings!$G$4:$G$12,Mentors!$H22))))</f>
        <v/>
      </c>
      <c r="H38" s="24">
        <f>IF(OR($B38="",$B$4=""),"",Settings!$B$10*SUMPRODUCT(ISNUMBER(SEARCH(Settings!$H$4:$H$7,$B$12))*ISNUMBER(SEARCH(Settings!$H$4:$H$7,Mentors!$I22))))</f>
        <v/>
      </c>
      <c r="I38" s="24">
        <f>IF(OR($B38="",$B$4=""),"",IF(OR($B$13="",$B$13="Either",Mentors!$J22="Either",$B$13=Mentors!$J22),Settings!$B$11,0))</f>
        <v/>
      </c>
      <c r="J38" s="25">
        <f>IF(OR($B38="",$B$4=""),"",SUM(E38:I38))</f>
        <v/>
      </c>
      <c r="K38" s="26">
        <f>IF(J38="",-1,IF(N(D38)&lt;=0,-1,J38+(1000-ROW())/100000))</f>
        <v/>
      </c>
    </row>
    <row r="39">
      <c r="A39" s="24">
        <f>IF(Mentors!$D23="","",Mentors!$A23)</f>
        <v/>
      </c>
      <c r="B39" s="24">
        <f>IF(Mentors!$D23="","",Mentors!$D23)</f>
        <v/>
      </c>
      <c r="C39" s="24">
        <f>IF($B39="","",Mentors!$F23&amp;"")</f>
        <v/>
      </c>
      <c r="D39" s="24">
        <f>IF($B39="","",Mentors!$O23)</f>
        <v/>
      </c>
      <c r="E39" s="24">
        <f>IF(OR($B39="",$B$4=""),"",IF(AND($C39&lt;&gt;"",$C39=$B$7),Settings!$B$7,0))</f>
        <v/>
      </c>
      <c r="F39" s="24">
        <f>IF(OR($B39="",$B$4=""),"",Settings!$B$8*(($B$8&lt;&gt;"")*ISNUMBER(SEARCH($B$8,Mentors!$G23))+($B$9&lt;&gt;"")*ISNUMBER(SEARCH($B$9,Mentors!$G23))+($B$10&lt;&gt;"")*ISNUMBER(SEARCH($B$10,Mentors!$G23))))</f>
        <v/>
      </c>
      <c r="G39" s="24">
        <f>IF(OR($B39="",$B$4=""),"",Settings!$B$9*SUMPRODUCT(ISNUMBER(SEARCH(Settings!$G$4:$G$12,$B$11))*ISNUMBER(SEARCH(Settings!$G$4:$G$12,Mentors!$H23))))</f>
        <v/>
      </c>
      <c r="H39" s="24">
        <f>IF(OR($B39="",$B$4=""),"",Settings!$B$10*SUMPRODUCT(ISNUMBER(SEARCH(Settings!$H$4:$H$7,$B$12))*ISNUMBER(SEARCH(Settings!$H$4:$H$7,Mentors!$I23))))</f>
        <v/>
      </c>
      <c r="I39" s="24">
        <f>IF(OR($B39="",$B$4=""),"",IF(OR($B$13="",$B$13="Either",Mentors!$J23="Either",$B$13=Mentors!$J23),Settings!$B$11,0))</f>
        <v/>
      </c>
      <c r="J39" s="25">
        <f>IF(OR($B39="",$B$4=""),"",SUM(E39:I39))</f>
        <v/>
      </c>
      <c r="K39" s="26">
        <f>IF(J39="",-1,IF(N(D39)&lt;=0,-1,J39+(1000-ROW())/100000))</f>
        <v/>
      </c>
    </row>
    <row r="40">
      <c r="A40" s="24">
        <f>IF(Mentors!$D24="","",Mentors!$A24)</f>
        <v/>
      </c>
      <c r="B40" s="24">
        <f>IF(Mentors!$D24="","",Mentors!$D24)</f>
        <v/>
      </c>
      <c r="C40" s="24">
        <f>IF($B40="","",Mentors!$F24&amp;"")</f>
        <v/>
      </c>
      <c r="D40" s="24">
        <f>IF($B40="","",Mentors!$O24)</f>
        <v/>
      </c>
      <c r="E40" s="24">
        <f>IF(OR($B40="",$B$4=""),"",IF(AND($C40&lt;&gt;"",$C40=$B$7),Settings!$B$7,0))</f>
        <v/>
      </c>
      <c r="F40" s="24">
        <f>IF(OR($B40="",$B$4=""),"",Settings!$B$8*(($B$8&lt;&gt;"")*ISNUMBER(SEARCH($B$8,Mentors!$G24))+($B$9&lt;&gt;"")*ISNUMBER(SEARCH($B$9,Mentors!$G24))+($B$10&lt;&gt;"")*ISNUMBER(SEARCH($B$10,Mentors!$G24))))</f>
        <v/>
      </c>
      <c r="G40" s="24">
        <f>IF(OR($B40="",$B$4=""),"",Settings!$B$9*SUMPRODUCT(ISNUMBER(SEARCH(Settings!$G$4:$G$12,$B$11))*ISNUMBER(SEARCH(Settings!$G$4:$G$12,Mentors!$H24))))</f>
        <v/>
      </c>
      <c r="H40" s="24">
        <f>IF(OR($B40="",$B$4=""),"",Settings!$B$10*SUMPRODUCT(ISNUMBER(SEARCH(Settings!$H$4:$H$7,$B$12))*ISNUMBER(SEARCH(Settings!$H$4:$H$7,Mentors!$I24))))</f>
        <v/>
      </c>
      <c r="I40" s="24">
        <f>IF(OR($B40="",$B$4=""),"",IF(OR($B$13="",$B$13="Either",Mentors!$J24="Either",$B$13=Mentors!$J24),Settings!$B$11,0))</f>
        <v/>
      </c>
      <c r="J40" s="25">
        <f>IF(OR($B40="",$B$4=""),"",SUM(E40:I40))</f>
        <v/>
      </c>
      <c r="K40" s="26">
        <f>IF(J40="",-1,IF(N(D40)&lt;=0,-1,J40+(1000-ROW())/100000))</f>
        <v/>
      </c>
    </row>
    <row r="41">
      <c r="A41" s="24">
        <f>IF(Mentors!$D25="","",Mentors!$A25)</f>
        <v/>
      </c>
      <c r="B41" s="24">
        <f>IF(Mentors!$D25="","",Mentors!$D25)</f>
        <v/>
      </c>
      <c r="C41" s="24">
        <f>IF($B41="","",Mentors!$F25&amp;"")</f>
        <v/>
      </c>
      <c r="D41" s="24">
        <f>IF($B41="","",Mentors!$O25)</f>
        <v/>
      </c>
      <c r="E41" s="24">
        <f>IF(OR($B41="",$B$4=""),"",IF(AND($C41&lt;&gt;"",$C41=$B$7),Settings!$B$7,0))</f>
        <v/>
      </c>
      <c r="F41" s="24">
        <f>IF(OR($B41="",$B$4=""),"",Settings!$B$8*(($B$8&lt;&gt;"")*ISNUMBER(SEARCH($B$8,Mentors!$G25))+($B$9&lt;&gt;"")*ISNUMBER(SEARCH($B$9,Mentors!$G25))+($B$10&lt;&gt;"")*ISNUMBER(SEARCH($B$10,Mentors!$G25))))</f>
        <v/>
      </c>
      <c r="G41" s="24">
        <f>IF(OR($B41="",$B$4=""),"",Settings!$B$9*SUMPRODUCT(ISNUMBER(SEARCH(Settings!$G$4:$G$12,$B$11))*ISNUMBER(SEARCH(Settings!$G$4:$G$12,Mentors!$H25))))</f>
        <v/>
      </c>
      <c r="H41" s="24">
        <f>IF(OR($B41="",$B$4=""),"",Settings!$B$10*SUMPRODUCT(ISNUMBER(SEARCH(Settings!$H$4:$H$7,$B$12))*ISNUMBER(SEARCH(Settings!$H$4:$H$7,Mentors!$I25))))</f>
        <v/>
      </c>
      <c r="I41" s="24">
        <f>IF(OR($B41="",$B$4=""),"",IF(OR($B$13="",$B$13="Either",Mentors!$J25="Either",$B$13=Mentors!$J25),Settings!$B$11,0))</f>
        <v/>
      </c>
      <c r="J41" s="25">
        <f>IF(OR($B41="",$B$4=""),"",SUM(E41:I41))</f>
        <v/>
      </c>
      <c r="K41" s="26">
        <f>IF(J41="",-1,IF(N(D41)&lt;=0,-1,J41+(1000-ROW())/100000))</f>
        <v/>
      </c>
    </row>
    <row r="42">
      <c r="A42" s="24">
        <f>IF(Mentors!$D26="","",Mentors!$A26)</f>
        <v/>
      </c>
      <c r="B42" s="24">
        <f>IF(Mentors!$D26="","",Mentors!$D26)</f>
        <v/>
      </c>
      <c r="C42" s="24">
        <f>IF($B42="","",Mentors!$F26&amp;"")</f>
        <v/>
      </c>
      <c r="D42" s="24">
        <f>IF($B42="","",Mentors!$O26)</f>
        <v/>
      </c>
      <c r="E42" s="24">
        <f>IF(OR($B42="",$B$4=""),"",IF(AND($C42&lt;&gt;"",$C42=$B$7),Settings!$B$7,0))</f>
        <v/>
      </c>
      <c r="F42" s="24">
        <f>IF(OR($B42="",$B$4=""),"",Settings!$B$8*(($B$8&lt;&gt;"")*ISNUMBER(SEARCH($B$8,Mentors!$G26))+($B$9&lt;&gt;"")*ISNUMBER(SEARCH($B$9,Mentors!$G26))+($B$10&lt;&gt;"")*ISNUMBER(SEARCH($B$10,Mentors!$G26))))</f>
        <v/>
      </c>
      <c r="G42" s="24">
        <f>IF(OR($B42="",$B$4=""),"",Settings!$B$9*SUMPRODUCT(ISNUMBER(SEARCH(Settings!$G$4:$G$12,$B$11))*ISNUMBER(SEARCH(Settings!$G$4:$G$12,Mentors!$H26))))</f>
        <v/>
      </c>
      <c r="H42" s="24">
        <f>IF(OR($B42="",$B$4=""),"",Settings!$B$10*SUMPRODUCT(ISNUMBER(SEARCH(Settings!$H$4:$H$7,$B$12))*ISNUMBER(SEARCH(Settings!$H$4:$H$7,Mentors!$I26))))</f>
        <v/>
      </c>
      <c r="I42" s="24">
        <f>IF(OR($B42="",$B$4=""),"",IF(OR($B$13="",$B$13="Either",Mentors!$J26="Either",$B$13=Mentors!$J26),Settings!$B$11,0))</f>
        <v/>
      </c>
      <c r="J42" s="25">
        <f>IF(OR($B42="",$B$4=""),"",SUM(E42:I42))</f>
        <v/>
      </c>
      <c r="K42" s="26">
        <f>IF(J42="",-1,IF(N(D42)&lt;=0,-1,J42+(1000-ROW())/100000))</f>
        <v/>
      </c>
    </row>
    <row r="43">
      <c r="A43" s="24">
        <f>IF(Mentors!$D27="","",Mentors!$A27)</f>
        <v/>
      </c>
      <c r="B43" s="24">
        <f>IF(Mentors!$D27="","",Mentors!$D27)</f>
        <v/>
      </c>
      <c r="C43" s="24">
        <f>IF($B43="","",Mentors!$F27&amp;"")</f>
        <v/>
      </c>
      <c r="D43" s="24">
        <f>IF($B43="","",Mentors!$O27)</f>
        <v/>
      </c>
      <c r="E43" s="24">
        <f>IF(OR($B43="",$B$4=""),"",IF(AND($C43&lt;&gt;"",$C43=$B$7),Settings!$B$7,0))</f>
        <v/>
      </c>
      <c r="F43" s="24">
        <f>IF(OR($B43="",$B$4=""),"",Settings!$B$8*(($B$8&lt;&gt;"")*ISNUMBER(SEARCH($B$8,Mentors!$G27))+($B$9&lt;&gt;"")*ISNUMBER(SEARCH($B$9,Mentors!$G27))+($B$10&lt;&gt;"")*ISNUMBER(SEARCH($B$10,Mentors!$G27))))</f>
        <v/>
      </c>
      <c r="G43" s="24">
        <f>IF(OR($B43="",$B$4=""),"",Settings!$B$9*SUMPRODUCT(ISNUMBER(SEARCH(Settings!$G$4:$G$12,$B$11))*ISNUMBER(SEARCH(Settings!$G$4:$G$12,Mentors!$H27))))</f>
        <v/>
      </c>
      <c r="H43" s="24">
        <f>IF(OR($B43="",$B$4=""),"",Settings!$B$10*SUMPRODUCT(ISNUMBER(SEARCH(Settings!$H$4:$H$7,$B$12))*ISNUMBER(SEARCH(Settings!$H$4:$H$7,Mentors!$I27))))</f>
        <v/>
      </c>
      <c r="I43" s="24">
        <f>IF(OR($B43="",$B$4=""),"",IF(OR($B$13="",$B$13="Either",Mentors!$J27="Either",$B$13=Mentors!$J27),Settings!$B$11,0))</f>
        <v/>
      </c>
      <c r="J43" s="25">
        <f>IF(OR($B43="",$B$4=""),"",SUM(E43:I43))</f>
        <v/>
      </c>
      <c r="K43" s="26">
        <f>IF(J43="",-1,IF(N(D43)&lt;=0,-1,J43+(1000-ROW())/100000))</f>
        <v/>
      </c>
    </row>
    <row r="44">
      <c r="A44" s="24">
        <f>IF(Mentors!$D28="","",Mentors!$A28)</f>
        <v/>
      </c>
      <c r="B44" s="24">
        <f>IF(Mentors!$D28="","",Mentors!$D28)</f>
        <v/>
      </c>
      <c r="C44" s="24">
        <f>IF($B44="","",Mentors!$F28&amp;"")</f>
        <v/>
      </c>
      <c r="D44" s="24">
        <f>IF($B44="","",Mentors!$O28)</f>
        <v/>
      </c>
      <c r="E44" s="24">
        <f>IF(OR($B44="",$B$4=""),"",IF(AND($C44&lt;&gt;"",$C44=$B$7),Settings!$B$7,0))</f>
        <v/>
      </c>
      <c r="F44" s="24">
        <f>IF(OR($B44="",$B$4=""),"",Settings!$B$8*(($B$8&lt;&gt;"")*ISNUMBER(SEARCH($B$8,Mentors!$G28))+($B$9&lt;&gt;"")*ISNUMBER(SEARCH($B$9,Mentors!$G28))+($B$10&lt;&gt;"")*ISNUMBER(SEARCH($B$10,Mentors!$G28))))</f>
        <v/>
      </c>
      <c r="G44" s="24">
        <f>IF(OR($B44="",$B$4=""),"",Settings!$B$9*SUMPRODUCT(ISNUMBER(SEARCH(Settings!$G$4:$G$12,$B$11))*ISNUMBER(SEARCH(Settings!$G$4:$G$12,Mentors!$H28))))</f>
        <v/>
      </c>
      <c r="H44" s="24">
        <f>IF(OR($B44="",$B$4=""),"",Settings!$B$10*SUMPRODUCT(ISNUMBER(SEARCH(Settings!$H$4:$H$7,$B$12))*ISNUMBER(SEARCH(Settings!$H$4:$H$7,Mentors!$I28))))</f>
        <v/>
      </c>
      <c r="I44" s="24">
        <f>IF(OR($B44="",$B$4=""),"",IF(OR($B$13="",$B$13="Either",Mentors!$J28="Either",$B$13=Mentors!$J28),Settings!$B$11,0))</f>
        <v/>
      </c>
      <c r="J44" s="25">
        <f>IF(OR($B44="",$B$4=""),"",SUM(E44:I44))</f>
        <v/>
      </c>
      <c r="K44" s="26">
        <f>IF(J44="",-1,IF(N(D44)&lt;=0,-1,J44+(1000-ROW())/100000))</f>
        <v/>
      </c>
    </row>
    <row r="45">
      <c r="A45" s="24">
        <f>IF(Mentors!$D29="","",Mentors!$A29)</f>
        <v/>
      </c>
      <c r="B45" s="24">
        <f>IF(Mentors!$D29="","",Mentors!$D29)</f>
        <v/>
      </c>
      <c r="C45" s="24">
        <f>IF($B45="","",Mentors!$F29&amp;"")</f>
        <v/>
      </c>
      <c r="D45" s="24">
        <f>IF($B45="","",Mentors!$O29)</f>
        <v/>
      </c>
      <c r="E45" s="24">
        <f>IF(OR($B45="",$B$4=""),"",IF(AND($C45&lt;&gt;"",$C45=$B$7),Settings!$B$7,0))</f>
        <v/>
      </c>
      <c r="F45" s="24">
        <f>IF(OR($B45="",$B$4=""),"",Settings!$B$8*(($B$8&lt;&gt;"")*ISNUMBER(SEARCH($B$8,Mentors!$G29))+($B$9&lt;&gt;"")*ISNUMBER(SEARCH($B$9,Mentors!$G29))+($B$10&lt;&gt;"")*ISNUMBER(SEARCH($B$10,Mentors!$G29))))</f>
        <v/>
      </c>
      <c r="G45" s="24">
        <f>IF(OR($B45="",$B$4=""),"",Settings!$B$9*SUMPRODUCT(ISNUMBER(SEARCH(Settings!$G$4:$G$12,$B$11))*ISNUMBER(SEARCH(Settings!$G$4:$G$12,Mentors!$H29))))</f>
        <v/>
      </c>
      <c r="H45" s="24">
        <f>IF(OR($B45="",$B$4=""),"",Settings!$B$10*SUMPRODUCT(ISNUMBER(SEARCH(Settings!$H$4:$H$7,$B$12))*ISNUMBER(SEARCH(Settings!$H$4:$H$7,Mentors!$I29))))</f>
        <v/>
      </c>
      <c r="I45" s="24">
        <f>IF(OR($B45="",$B$4=""),"",IF(OR($B$13="",$B$13="Either",Mentors!$J29="Either",$B$13=Mentors!$J29),Settings!$B$11,0))</f>
        <v/>
      </c>
      <c r="J45" s="25">
        <f>IF(OR($B45="",$B$4=""),"",SUM(E45:I45))</f>
        <v/>
      </c>
      <c r="K45" s="26">
        <f>IF(J45="",-1,IF(N(D45)&lt;=0,-1,J45+(1000-ROW())/100000))</f>
        <v/>
      </c>
    </row>
    <row r="46">
      <c r="A46" s="24">
        <f>IF(Mentors!$D30="","",Mentors!$A30)</f>
        <v/>
      </c>
      <c r="B46" s="24">
        <f>IF(Mentors!$D30="","",Mentors!$D30)</f>
        <v/>
      </c>
      <c r="C46" s="24">
        <f>IF($B46="","",Mentors!$F30&amp;"")</f>
        <v/>
      </c>
      <c r="D46" s="24">
        <f>IF($B46="","",Mentors!$O30)</f>
        <v/>
      </c>
      <c r="E46" s="24">
        <f>IF(OR($B46="",$B$4=""),"",IF(AND($C46&lt;&gt;"",$C46=$B$7),Settings!$B$7,0))</f>
        <v/>
      </c>
      <c r="F46" s="24">
        <f>IF(OR($B46="",$B$4=""),"",Settings!$B$8*(($B$8&lt;&gt;"")*ISNUMBER(SEARCH($B$8,Mentors!$G30))+($B$9&lt;&gt;"")*ISNUMBER(SEARCH($B$9,Mentors!$G30))+($B$10&lt;&gt;"")*ISNUMBER(SEARCH($B$10,Mentors!$G30))))</f>
        <v/>
      </c>
      <c r="G46" s="24">
        <f>IF(OR($B46="",$B$4=""),"",Settings!$B$9*SUMPRODUCT(ISNUMBER(SEARCH(Settings!$G$4:$G$12,$B$11))*ISNUMBER(SEARCH(Settings!$G$4:$G$12,Mentors!$H30))))</f>
        <v/>
      </c>
      <c r="H46" s="24">
        <f>IF(OR($B46="",$B$4=""),"",Settings!$B$10*SUMPRODUCT(ISNUMBER(SEARCH(Settings!$H$4:$H$7,$B$12))*ISNUMBER(SEARCH(Settings!$H$4:$H$7,Mentors!$I30))))</f>
        <v/>
      </c>
      <c r="I46" s="24">
        <f>IF(OR($B46="",$B$4=""),"",IF(OR($B$13="",$B$13="Either",Mentors!$J30="Either",$B$13=Mentors!$J30),Settings!$B$11,0))</f>
        <v/>
      </c>
      <c r="J46" s="25">
        <f>IF(OR($B46="",$B$4=""),"",SUM(E46:I46))</f>
        <v/>
      </c>
      <c r="K46" s="26">
        <f>IF(J46="",-1,IF(N(D46)&lt;=0,-1,J46+(1000-ROW())/100000))</f>
        <v/>
      </c>
    </row>
    <row r="47">
      <c r="A47" s="24">
        <f>IF(Mentors!$D31="","",Mentors!$A31)</f>
        <v/>
      </c>
      <c r="B47" s="24">
        <f>IF(Mentors!$D31="","",Mentors!$D31)</f>
        <v/>
      </c>
      <c r="C47" s="24">
        <f>IF($B47="","",Mentors!$F31&amp;"")</f>
        <v/>
      </c>
      <c r="D47" s="24">
        <f>IF($B47="","",Mentors!$O31)</f>
        <v/>
      </c>
      <c r="E47" s="24">
        <f>IF(OR($B47="",$B$4=""),"",IF(AND($C47&lt;&gt;"",$C47=$B$7),Settings!$B$7,0))</f>
        <v/>
      </c>
      <c r="F47" s="24">
        <f>IF(OR($B47="",$B$4=""),"",Settings!$B$8*(($B$8&lt;&gt;"")*ISNUMBER(SEARCH($B$8,Mentors!$G31))+($B$9&lt;&gt;"")*ISNUMBER(SEARCH($B$9,Mentors!$G31))+($B$10&lt;&gt;"")*ISNUMBER(SEARCH($B$10,Mentors!$G31))))</f>
        <v/>
      </c>
      <c r="G47" s="24">
        <f>IF(OR($B47="",$B$4=""),"",Settings!$B$9*SUMPRODUCT(ISNUMBER(SEARCH(Settings!$G$4:$G$12,$B$11))*ISNUMBER(SEARCH(Settings!$G$4:$G$12,Mentors!$H31))))</f>
        <v/>
      </c>
      <c r="H47" s="24">
        <f>IF(OR($B47="",$B$4=""),"",Settings!$B$10*SUMPRODUCT(ISNUMBER(SEARCH(Settings!$H$4:$H$7,$B$12))*ISNUMBER(SEARCH(Settings!$H$4:$H$7,Mentors!$I31))))</f>
        <v/>
      </c>
      <c r="I47" s="24">
        <f>IF(OR($B47="",$B$4=""),"",IF(OR($B$13="",$B$13="Either",Mentors!$J31="Either",$B$13=Mentors!$J31),Settings!$B$11,0))</f>
        <v/>
      </c>
      <c r="J47" s="25">
        <f>IF(OR($B47="",$B$4=""),"",SUM(E47:I47))</f>
        <v/>
      </c>
      <c r="K47" s="26">
        <f>IF(J47="",-1,IF(N(D47)&lt;=0,-1,J47+(1000-ROW())/100000))</f>
        <v/>
      </c>
    </row>
    <row r="48">
      <c r="A48" s="24">
        <f>IF(Mentors!$D32="","",Mentors!$A32)</f>
        <v/>
      </c>
      <c r="B48" s="24">
        <f>IF(Mentors!$D32="","",Mentors!$D32)</f>
        <v/>
      </c>
      <c r="C48" s="24">
        <f>IF($B48="","",Mentors!$F32&amp;"")</f>
        <v/>
      </c>
      <c r="D48" s="24">
        <f>IF($B48="","",Mentors!$O32)</f>
        <v/>
      </c>
      <c r="E48" s="24">
        <f>IF(OR($B48="",$B$4=""),"",IF(AND($C48&lt;&gt;"",$C48=$B$7),Settings!$B$7,0))</f>
        <v/>
      </c>
      <c r="F48" s="24">
        <f>IF(OR($B48="",$B$4=""),"",Settings!$B$8*(($B$8&lt;&gt;"")*ISNUMBER(SEARCH($B$8,Mentors!$G32))+($B$9&lt;&gt;"")*ISNUMBER(SEARCH($B$9,Mentors!$G32))+($B$10&lt;&gt;"")*ISNUMBER(SEARCH($B$10,Mentors!$G32))))</f>
        <v/>
      </c>
      <c r="G48" s="24">
        <f>IF(OR($B48="",$B$4=""),"",Settings!$B$9*SUMPRODUCT(ISNUMBER(SEARCH(Settings!$G$4:$G$12,$B$11))*ISNUMBER(SEARCH(Settings!$G$4:$G$12,Mentors!$H32))))</f>
        <v/>
      </c>
      <c r="H48" s="24">
        <f>IF(OR($B48="",$B$4=""),"",Settings!$B$10*SUMPRODUCT(ISNUMBER(SEARCH(Settings!$H$4:$H$7,$B$12))*ISNUMBER(SEARCH(Settings!$H$4:$H$7,Mentors!$I32))))</f>
        <v/>
      </c>
      <c r="I48" s="24">
        <f>IF(OR($B48="",$B$4=""),"",IF(OR($B$13="",$B$13="Either",Mentors!$J32="Either",$B$13=Mentors!$J32),Settings!$B$11,0))</f>
        <v/>
      </c>
      <c r="J48" s="25">
        <f>IF(OR($B48="",$B$4=""),"",SUM(E48:I48))</f>
        <v/>
      </c>
      <c r="K48" s="26">
        <f>IF(J48="",-1,IF(N(D48)&lt;=0,-1,J48+(1000-ROW())/100000))</f>
        <v/>
      </c>
    </row>
    <row r="49">
      <c r="A49" s="24">
        <f>IF(Mentors!$D33="","",Mentors!$A33)</f>
        <v/>
      </c>
      <c r="B49" s="24">
        <f>IF(Mentors!$D33="","",Mentors!$D33)</f>
        <v/>
      </c>
      <c r="C49" s="24">
        <f>IF($B49="","",Mentors!$F33&amp;"")</f>
        <v/>
      </c>
      <c r="D49" s="24">
        <f>IF($B49="","",Mentors!$O33)</f>
        <v/>
      </c>
      <c r="E49" s="24">
        <f>IF(OR($B49="",$B$4=""),"",IF(AND($C49&lt;&gt;"",$C49=$B$7),Settings!$B$7,0))</f>
        <v/>
      </c>
      <c r="F49" s="24">
        <f>IF(OR($B49="",$B$4=""),"",Settings!$B$8*(($B$8&lt;&gt;"")*ISNUMBER(SEARCH($B$8,Mentors!$G33))+($B$9&lt;&gt;"")*ISNUMBER(SEARCH($B$9,Mentors!$G33))+($B$10&lt;&gt;"")*ISNUMBER(SEARCH($B$10,Mentors!$G33))))</f>
        <v/>
      </c>
      <c r="G49" s="24">
        <f>IF(OR($B49="",$B$4=""),"",Settings!$B$9*SUMPRODUCT(ISNUMBER(SEARCH(Settings!$G$4:$G$12,$B$11))*ISNUMBER(SEARCH(Settings!$G$4:$G$12,Mentors!$H33))))</f>
        <v/>
      </c>
      <c r="H49" s="24">
        <f>IF(OR($B49="",$B$4=""),"",Settings!$B$10*SUMPRODUCT(ISNUMBER(SEARCH(Settings!$H$4:$H$7,$B$12))*ISNUMBER(SEARCH(Settings!$H$4:$H$7,Mentors!$I33))))</f>
        <v/>
      </c>
      <c r="I49" s="24">
        <f>IF(OR($B49="",$B$4=""),"",IF(OR($B$13="",$B$13="Either",Mentors!$J33="Either",$B$13=Mentors!$J33),Settings!$B$11,0))</f>
        <v/>
      </c>
      <c r="J49" s="25">
        <f>IF(OR($B49="",$B$4=""),"",SUM(E49:I49))</f>
        <v/>
      </c>
      <c r="K49" s="26">
        <f>IF(J49="",-1,IF(N(D49)&lt;=0,-1,J49+(1000-ROW())/100000))</f>
        <v/>
      </c>
    </row>
    <row r="50">
      <c r="A50" s="24">
        <f>IF(Mentors!$D34="","",Mentors!$A34)</f>
        <v/>
      </c>
      <c r="B50" s="24">
        <f>IF(Mentors!$D34="","",Mentors!$D34)</f>
        <v/>
      </c>
      <c r="C50" s="24">
        <f>IF($B50="","",Mentors!$F34&amp;"")</f>
        <v/>
      </c>
      <c r="D50" s="24">
        <f>IF($B50="","",Mentors!$O34)</f>
        <v/>
      </c>
      <c r="E50" s="24">
        <f>IF(OR($B50="",$B$4=""),"",IF(AND($C50&lt;&gt;"",$C50=$B$7),Settings!$B$7,0))</f>
        <v/>
      </c>
      <c r="F50" s="24">
        <f>IF(OR($B50="",$B$4=""),"",Settings!$B$8*(($B$8&lt;&gt;"")*ISNUMBER(SEARCH($B$8,Mentors!$G34))+($B$9&lt;&gt;"")*ISNUMBER(SEARCH($B$9,Mentors!$G34))+($B$10&lt;&gt;"")*ISNUMBER(SEARCH($B$10,Mentors!$G34))))</f>
        <v/>
      </c>
      <c r="G50" s="24">
        <f>IF(OR($B50="",$B$4=""),"",Settings!$B$9*SUMPRODUCT(ISNUMBER(SEARCH(Settings!$G$4:$G$12,$B$11))*ISNUMBER(SEARCH(Settings!$G$4:$G$12,Mentors!$H34))))</f>
        <v/>
      </c>
      <c r="H50" s="24">
        <f>IF(OR($B50="",$B$4=""),"",Settings!$B$10*SUMPRODUCT(ISNUMBER(SEARCH(Settings!$H$4:$H$7,$B$12))*ISNUMBER(SEARCH(Settings!$H$4:$H$7,Mentors!$I34))))</f>
        <v/>
      </c>
      <c r="I50" s="24">
        <f>IF(OR($B50="",$B$4=""),"",IF(OR($B$13="",$B$13="Either",Mentors!$J34="Either",$B$13=Mentors!$J34),Settings!$B$11,0))</f>
        <v/>
      </c>
      <c r="J50" s="25">
        <f>IF(OR($B50="",$B$4=""),"",SUM(E50:I50))</f>
        <v/>
      </c>
      <c r="K50" s="26">
        <f>IF(J50="",-1,IF(N(D50)&lt;=0,-1,J50+(1000-ROW())/100000))</f>
        <v/>
      </c>
    </row>
    <row r="51">
      <c r="A51" s="24">
        <f>IF(Mentors!$D35="","",Mentors!$A35)</f>
        <v/>
      </c>
      <c r="B51" s="24">
        <f>IF(Mentors!$D35="","",Mentors!$D35)</f>
        <v/>
      </c>
      <c r="C51" s="24">
        <f>IF($B51="","",Mentors!$F35&amp;"")</f>
        <v/>
      </c>
      <c r="D51" s="24">
        <f>IF($B51="","",Mentors!$O35)</f>
        <v/>
      </c>
      <c r="E51" s="24">
        <f>IF(OR($B51="",$B$4=""),"",IF(AND($C51&lt;&gt;"",$C51=$B$7),Settings!$B$7,0))</f>
        <v/>
      </c>
      <c r="F51" s="24">
        <f>IF(OR($B51="",$B$4=""),"",Settings!$B$8*(($B$8&lt;&gt;"")*ISNUMBER(SEARCH($B$8,Mentors!$G35))+($B$9&lt;&gt;"")*ISNUMBER(SEARCH($B$9,Mentors!$G35))+($B$10&lt;&gt;"")*ISNUMBER(SEARCH($B$10,Mentors!$G35))))</f>
        <v/>
      </c>
      <c r="G51" s="24">
        <f>IF(OR($B51="",$B$4=""),"",Settings!$B$9*SUMPRODUCT(ISNUMBER(SEARCH(Settings!$G$4:$G$12,$B$11))*ISNUMBER(SEARCH(Settings!$G$4:$G$12,Mentors!$H35))))</f>
        <v/>
      </c>
      <c r="H51" s="24">
        <f>IF(OR($B51="",$B$4=""),"",Settings!$B$10*SUMPRODUCT(ISNUMBER(SEARCH(Settings!$H$4:$H$7,$B$12))*ISNUMBER(SEARCH(Settings!$H$4:$H$7,Mentors!$I35))))</f>
        <v/>
      </c>
      <c r="I51" s="24">
        <f>IF(OR($B51="",$B$4=""),"",IF(OR($B$13="",$B$13="Either",Mentors!$J35="Either",$B$13=Mentors!$J35),Settings!$B$11,0))</f>
        <v/>
      </c>
      <c r="J51" s="25">
        <f>IF(OR($B51="",$B$4=""),"",SUM(E51:I51))</f>
        <v/>
      </c>
      <c r="K51" s="26">
        <f>IF(J51="",-1,IF(N(D51)&lt;=0,-1,J51+(1000-ROW())/100000))</f>
        <v/>
      </c>
    </row>
    <row r="52">
      <c r="A52" s="24">
        <f>IF(Mentors!$D36="","",Mentors!$A36)</f>
        <v/>
      </c>
      <c r="B52" s="24">
        <f>IF(Mentors!$D36="","",Mentors!$D36)</f>
        <v/>
      </c>
      <c r="C52" s="24">
        <f>IF($B52="","",Mentors!$F36&amp;"")</f>
        <v/>
      </c>
      <c r="D52" s="24">
        <f>IF($B52="","",Mentors!$O36)</f>
        <v/>
      </c>
      <c r="E52" s="24">
        <f>IF(OR($B52="",$B$4=""),"",IF(AND($C52&lt;&gt;"",$C52=$B$7),Settings!$B$7,0))</f>
        <v/>
      </c>
      <c r="F52" s="24">
        <f>IF(OR($B52="",$B$4=""),"",Settings!$B$8*(($B$8&lt;&gt;"")*ISNUMBER(SEARCH($B$8,Mentors!$G36))+($B$9&lt;&gt;"")*ISNUMBER(SEARCH($B$9,Mentors!$G36))+($B$10&lt;&gt;"")*ISNUMBER(SEARCH($B$10,Mentors!$G36))))</f>
        <v/>
      </c>
      <c r="G52" s="24">
        <f>IF(OR($B52="",$B$4=""),"",Settings!$B$9*SUMPRODUCT(ISNUMBER(SEARCH(Settings!$G$4:$G$12,$B$11))*ISNUMBER(SEARCH(Settings!$G$4:$G$12,Mentors!$H36))))</f>
        <v/>
      </c>
      <c r="H52" s="24">
        <f>IF(OR($B52="",$B$4=""),"",Settings!$B$10*SUMPRODUCT(ISNUMBER(SEARCH(Settings!$H$4:$H$7,$B$12))*ISNUMBER(SEARCH(Settings!$H$4:$H$7,Mentors!$I36))))</f>
        <v/>
      </c>
      <c r="I52" s="24">
        <f>IF(OR($B52="",$B$4=""),"",IF(OR($B$13="",$B$13="Either",Mentors!$J36="Either",$B$13=Mentors!$J36),Settings!$B$11,0))</f>
        <v/>
      </c>
      <c r="J52" s="25">
        <f>IF(OR($B52="",$B$4=""),"",SUM(E52:I52))</f>
        <v/>
      </c>
      <c r="K52" s="26">
        <f>IF(J52="",-1,IF(N(D52)&lt;=0,-1,J52+(1000-ROW())/100000))</f>
        <v/>
      </c>
    </row>
    <row r="53">
      <c r="A53" s="24">
        <f>IF(Mentors!$D37="","",Mentors!$A37)</f>
        <v/>
      </c>
      <c r="B53" s="24">
        <f>IF(Mentors!$D37="","",Mentors!$D37)</f>
        <v/>
      </c>
      <c r="C53" s="24">
        <f>IF($B53="","",Mentors!$F37&amp;"")</f>
        <v/>
      </c>
      <c r="D53" s="24">
        <f>IF($B53="","",Mentors!$O37)</f>
        <v/>
      </c>
      <c r="E53" s="24">
        <f>IF(OR($B53="",$B$4=""),"",IF(AND($C53&lt;&gt;"",$C53=$B$7),Settings!$B$7,0))</f>
        <v/>
      </c>
      <c r="F53" s="24">
        <f>IF(OR($B53="",$B$4=""),"",Settings!$B$8*(($B$8&lt;&gt;"")*ISNUMBER(SEARCH($B$8,Mentors!$G37))+($B$9&lt;&gt;"")*ISNUMBER(SEARCH($B$9,Mentors!$G37))+($B$10&lt;&gt;"")*ISNUMBER(SEARCH($B$10,Mentors!$G37))))</f>
        <v/>
      </c>
      <c r="G53" s="24">
        <f>IF(OR($B53="",$B$4=""),"",Settings!$B$9*SUMPRODUCT(ISNUMBER(SEARCH(Settings!$G$4:$G$12,$B$11))*ISNUMBER(SEARCH(Settings!$G$4:$G$12,Mentors!$H37))))</f>
        <v/>
      </c>
      <c r="H53" s="24">
        <f>IF(OR($B53="",$B$4=""),"",Settings!$B$10*SUMPRODUCT(ISNUMBER(SEARCH(Settings!$H$4:$H$7,$B$12))*ISNUMBER(SEARCH(Settings!$H$4:$H$7,Mentors!$I37))))</f>
        <v/>
      </c>
      <c r="I53" s="24">
        <f>IF(OR($B53="",$B$4=""),"",IF(OR($B$13="",$B$13="Either",Mentors!$J37="Either",$B$13=Mentors!$J37),Settings!$B$11,0))</f>
        <v/>
      </c>
      <c r="J53" s="25">
        <f>IF(OR($B53="",$B$4=""),"",SUM(E53:I53))</f>
        <v/>
      </c>
      <c r="K53" s="26">
        <f>IF(J53="",-1,IF(N(D53)&lt;=0,-1,J53+(1000-ROW())/100000))</f>
        <v/>
      </c>
    </row>
    <row r="54">
      <c r="A54" s="24">
        <f>IF(Mentors!$D38="","",Mentors!$A38)</f>
        <v/>
      </c>
      <c r="B54" s="24">
        <f>IF(Mentors!$D38="","",Mentors!$D38)</f>
        <v/>
      </c>
      <c r="C54" s="24">
        <f>IF($B54="","",Mentors!$F38&amp;"")</f>
        <v/>
      </c>
      <c r="D54" s="24">
        <f>IF($B54="","",Mentors!$O38)</f>
        <v/>
      </c>
      <c r="E54" s="24">
        <f>IF(OR($B54="",$B$4=""),"",IF(AND($C54&lt;&gt;"",$C54=$B$7),Settings!$B$7,0))</f>
        <v/>
      </c>
      <c r="F54" s="24">
        <f>IF(OR($B54="",$B$4=""),"",Settings!$B$8*(($B$8&lt;&gt;"")*ISNUMBER(SEARCH($B$8,Mentors!$G38))+($B$9&lt;&gt;"")*ISNUMBER(SEARCH($B$9,Mentors!$G38))+($B$10&lt;&gt;"")*ISNUMBER(SEARCH($B$10,Mentors!$G38))))</f>
        <v/>
      </c>
      <c r="G54" s="24">
        <f>IF(OR($B54="",$B$4=""),"",Settings!$B$9*SUMPRODUCT(ISNUMBER(SEARCH(Settings!$G$4:$G$12,$B$11))*ISNUMBER(SEARCH(Settings!$G$4:$G$12,Mentors!$H38))))</f>
        <v/>
      </c>
      <c r="H54" s="24">
        <f>IF(OR($B54="",$B$4=""),"",Settings!$B$10*SUMPRODUCT(ISNUMBER(SEARCH(Settings!$H$4:$H$7,$B$12))*ISNUMBER(SEARCH(Settings!$H$4:$H$7,Mentors!$I38))))</f>
        <v/>
      </c>
      <c r="I54" s="24">
        <f>IF(OR($B54="",$B$4=""),"",IF(OR($B$13="",$B$13="Either",Mentors!$J38="Either",$B$13=Mentors!$J38),Settings!$B$11,0))</f>
        <v/>
      </c>
      <c r="J54" s="25">
        <f>IF(OR($B54="",$B$4=""),"",SUM(E54:I54))</f>
        <v/>
      </c>
      <c r="K54" s="26">
        <f>IF(J54="",-1,IF(N(D54)&lt;=0,-1,J54+(1000-ROW())/100000))</f>
        <v/>
      </c>
    </row>
    <row r="55">
      <c r="A55" s="24">
        <f>IF(Mentors!$D39="","",Mentors!$A39)</f>
        <v/>
      </c>
      <c r="B55" s="24">
        <f>IF(Mentors!$D39="","",Mentors!$D39)</f>
        <v/>
      </c>
      <c r="C55" s="24">
        <f>IF($B55="","",Mentors!$F39&amp;"")</f>
        <v/>
      </c>
      <c r="D55" s="24">
        <f>IF($B55="","",Mentors!$O39)</f>
        <v/>
      </c>
      <c r="E55" s="24">
        <f>IF(OR($B55="",$B$4=""),"",IF(AND($C55&lt;&gt;"",$C55=$B$7),Settings!$B$7,0))</f>
        <v/>
      </c>
      <c r="F55" s="24">
        <f>IF(OR($B55="",$B$4=""),"",Settings!$B$8*(($B$8&lt;&gt;"")*ISNUMBER(SEARCH($B$8,Mentors!$G39))+($B$9&lt;&gt;"")*ISNUMBER(SEARCH($B$9,Mentors!$G39))+($B$10&lt;&gt;"")*ISNUMBER(SEARCH($B$10,Mentors!$G39))))</f>
        <v/>
      </c>
      <c r="G55" s="24">
        <f>IF(OR($B55="",$B$4=""),"",Settings!$B$9*SUMPRODUCT(ISNUMBER(SEARCH(Settings!$G$4:$G$12,$B$11))*ISNUMBER(SEARCH(Settings!$G$4:$G$12,Mentors!$H39))))</f>
        <v/>
      </c>
      <c r="H55" s="24">
        <f>IF(OR($B55="",$B$4=""),"",Settings!$B$10*SUMPRODUCT(ISNUMBER(SEARCH(Settings!$H$4:$H$7,$B$12))*ISNUMBER(SEARCH(Settings!$H$4:$H$7,Mentors!$I39))))</f>
        <v/>
      </c>
      <c r="I55" s="24">
        <f>IF(OR($B55="",$B$4=""),"",IF(OR($B$13="",$B$13="Either",Mentors!$J39="Either",$B$13=Mentors!$J39),Settings!$B$11,0))</f>
        <v/>
      </c>
      <c r="J55" s="25">
        <f>IF(OR($B55="",$B$4=""),"",SUM(E55:I55))</f>
        <v/>
      </c>
      <c r="K55" s="26">
        <f>IF(J55="",-1,IF(N(D55)&lt;=0,-1,J55+(1000-ROW())/100000))</f>
        <v/>
      </c>
    </row>
    <row r="56">
      <c r="A56" s="24">
        <f>IF(Mentors!$D40="","",Mentors!$A40)</f>
        <v/>
      </c>
      <c r="B56" s="24">
        <f>IF(Mentors!$D40="","",Mentors!$D40)</f>
        <v/>
      </c>
      <c r="C56" s="24">
        <f>IF($B56="","",Mentors!$F40&amp;"")</f>
        <v/>
      </c>
      <c r="D56" s="24">
        <f>IF($B56="","",Mentors!$O40)</f>
        <v/>
      </c>
      <c r="E56" s="24">
        <f>IF(OR($B56="",$B$4=""),"",IF(AND($C56&lt;&gt;"",$C56=$B$7),Settings!$B$7,0))</f>
        <v/>
      </c>
      <c r="F56" s="24">
        <f>IF(OR($B56="",$B$4=""),"",Settings!$B$8*(($B$8&lt;&gt;"")*ISNUMBER(SEARCH($B$8,Mentors!$G40))+($B$9&lt;&gt;"")*ISNUMBER(SEARCH($B$9,Mentors!$G40))+($B$10&lt;&gt;"")*ISNUMBER(SEARCH($B$10,Mentors!$G40))))</f>
        <v/>
      </c>
      <c r="G56" s="24">
        <f>IF(OR($B56="",$B$4=""),"",Settings!$B$9*SUMPRODUCT(ISNUMBER(SEARCH(Settings!$G$4:$G$12,$B$11))*ISNUMBER(SEARCH(Settings!$G$4:$G$12,Mentors!$H40))))</f>
        <v/>
      </c>
      <c r="H56" s="24">
        <f>IF(OR($B56="",$B$4=""),"",Settings!$B$10*SUMPRODUCT(ISNUMBER(SEARCH(Settings!$H$4:$H$7,$B$12))*ISNUMBER(SEARCH(Settings!$H$4:$H$7,Mentors!$I40))))</f>
        <v/>
      </c>
      <c r="I56" s="24">
        <f>IF(OR($B56="",$B$4=""),"",IF(OR($B$13="",$B$13="Either",Mentors!$J40="Either",$B$13=Mentors!$J40),Settings!$B$11,0))</f>
        <v/>
      </c>
      <c r="J56" s="25">
        <f>IF(OR($B56="",$B$4=""),"",SUM(E56:I56))</f>
        <v/>
      </c>
      <c r="K56" s="26">
        <f>IF(J56="",-1,IF(N(D56)&lt;=0,-1,J56+(1000-ROW())/100000))</f>
        <v/>
      </c>
    </row>
    <row r="57">
      <c r="A57" s="24">
        <f>IF(Mentors!$D41="","",Mentors!$A41)</f>
        <v/>
      </c>
      <c r="B57" s="24">
        <f>IF(Mentors!$D41="","",Mentors!$D41)</f>
        <v/>
      </c>
      <c r="C57" s="24">
        <f>IF($B57="","",Mentors!$F41&amp;"")</f>
        <v/>
      </c>
      <c r="D57" s="24">
        <f>IF($B57="","",Mentors!$O41)</f>
        <v/>
      </c>
      <c r="E57" s="24">
        <f>IF(OR($B57="",$B$4=""),"",IF(AND($C57&lt;&gt;"",$C57=$B$7),Settings!$B$7,0))</f>
        <v/>
      </c>
      <c r="F57" s="24">
        <f>IF(OR($B57="",$B$4=""),"",Settings!$B$8*(($B$8&lt;&gt;"")*ISNUMBER(SEARCH($B$8,Mentors!$G41))+($B$9&lt;&gt;"")*ISNUMBER(SEARCH($B$9,Mentors!$G41))+($B$10&lt;&gt;"")*ISNUMBER(SEARCH($B$10,Mentors!$G41))))</f>
        <v/>
      </c>
      <c r="G57" s="24">
        <f>IF(OR($B57="",$B$4=""),"",Settings!$B$9*SUMPRODUCT(ISNUMBER(SEARCH(Settings!$G$4:$G$12,$B$11))*ISNUMBER(SEARCH(Settings!$G$4:$G$12,Mentors!$H41))))</f>
        <v/>
      </c>
      <c r="H57" s="24">
        <f>IF(OR($B57="",$B$4=""),"",Settings!$B$10*SUMPRODUCT(ISNUMBER(SEARCH(Settings!$H$4:$H$7,$B$12))*ISNUMBER(SEARCH(Settings!$H$4:$H$7,Mentors!$I41))))</f>
        <v/>
      </c>
      <c r="I57" s="24">
        <f>IF(OR($B57="",$B$4=""),"",IF(OR($B$13="",$B$13="Either",Mentors!$J41="Either",$B$13=Mentors!$J41),Settings!$B$11,0))</f>
        <v/>
      </c>
      <c r="J57" s="25">
        <f>IF(OR($B57="",$B$4=""),"",SUM(E57:I57))</f>
        <v/>
      </c>
      <c r="K57" s="26">
        <f>IF(J57="",-1,IF(N(D57)&lt;=0,-1,J57+(1000-ROW())/100000))</f>
        <v/>
      </c>
    </row>
    <row r="58">
      <c r="A58" s="24">
        <f>IF(Mentors!$D42="","",Mentors!$A42)</f>
        <v/>
      </c>
      <c r="B58" s="24">
        <f>IF(Mentors!$D42="","",Mentors!$D42)</f>
        <v/>
      </c>
      <c r="C58" s="24">
        <f>IF($B58="","",Mentors!$F42&amp;"")</f>
        <v/>
      </c>
      <c r="D58" s="24">
        <f>IF($B58="","",Mentors!$O42)</f>
        <v/>
      </c>
      <c r="E58" s="24">
        <f>IF(OR($B58="",$B$4=""),"",IF(AND($C58&lt;&gt;"",$C58=$B$7),Settings!$B$7,0))</f>
        <v/>
      </c>
      <c r="F58" s="24">
        <f>IF(OR($B58="",$B$4=""),"",Settings!$B$8*(($B$8&lt;&gt;"")*ISNUMBER(SEARCH($B$8,Mentors!$G42))+($B$9&lt;&gt;"")*ISNUMBER(SEARCH($B$9,Mentors!$G42))+($B$10&lt;&gt;"")*ISNUMBER(SEARCH($B$10,Mentors!$G42))))</f>
        <v/>
      </c>
      <c r="G58" s="24">
        <f>IF(OR($B58="",$B$4=""),"",Settings!$B$9*SUMPRODUCT(ISNUMBER(SEARCH(Settings!$G$4:$G$12,$B$11))*ISNUMBER(SEARCH(Settings!$G$4:$G$12,Mentors!$H42))))</f>
        <v/>
      </c>
      <c r="H58" s="24">
        <f>IF(OR($B58="",$B$4=""),"",Settings!$B$10*SUMPRODUCT(ISNUMBER(SEARCH(Settings!$H$4:$H$7,$B$12))*ISNUMBER(SEARCH(Settings!$H$4:$H$7,Mentors!$I42))))</f>
        <v/>
      </c>
      <c r="I58" s="24">
        <f>IF(OR($B58="",$B$4=""),"",IF(OR($B$13="",$B$13="Either",Mentors!$J42="Either",$B$13=Mentors!$J42),Settings!$B$11,0))</f>
        <v/>
      </c>
      <c r="J58" s="25">
        <f>IF(OR($B58="",$B$4=""),"",SUM(E58:I58))</f>
        <v/>
      </c>
      <c r="K58" s="26">
        <f>IF(J58="",-1,IF(N(D58)&lt;=0,-1,J58+(1000-ROW())/100000))</f>
        <v/>
      </c>
    </row>
    <row r="59">
      <c r="A59" s="24">
        <f>IF(Mentors!$D43="","",Mentors!$A43)</f>
        <v/>
      </c>
      <c r="B59" s="24">
        <f>IF(Mentors!$D43="","",Mentors!$D43)</f>
        <v/>
      </c>
      <c r="C59" s="24">
        <f>IF($B59="","",Mentors!$F43&amp;"")</f>
        <v/>
      </c>
      <c r="D59" s="24">
        <f>IF($B59="","",Mentors!$O43)</f>
        <v/>
      </c>
      <c r="E59" s="24">
        <f>IF(OR($B59="",$B$4=""),"",IF(AND($C59&lt;&gt;"",$C59=$B$7),Settings!$B$7,0))</f>
        <v/>
      </c>
      <c r="F59" s="24">
        <f>IF(OR($B59="",$B$4=""),"",Settings!$B$8*(($B$8&lt;&gt;"")*ISNUMBER(SEARCH($B$8,Mentors!$G43))+($B$9&lt;&gt;"")*ISNUMBER(SEARCH($B$9,Mentors!$G43))+($B$10&lt;&gt;"")*ISNUMBER(SEARCH($B$10,Mentors!$G43))))</f>
        <v/>
      </c>
      <c r="G59" s="24">
        <f>IF(OR($B59="",$B$4=""),"",Settings!$B$9*SUMPRODUCT(ISNUMBER(SEARCH(Settings!$G$4:$G$12,$B$11))*ISNUMBER(SEARCH(Settings!$G$4:$G$12,Mentors!$H43))))</f>
        <v/>
      </c>
      <c r="H59" s="24">
        <f>IF(OR($B59="",$B$4=""),"",Settings!$B$10*SUMPRODUCT(ISNUMBER(SEARCH(Settings!$H$4:$H$7,$B$12))*ISNUMBER(SEARCH(Settings!$H$4:$H$7,Mentors!$I43))))</f>
        <v/>
      </c>
      <c r="I59" s="24">
        <f>IF(OR($B59="",$B$4=""),"",IF(OR($B$13="",$B$13="Either",Mentors!$J43="Either",$B$13=Mentors!$J43),Settings!$B$11,0))</f>
        <v/>
      </c>
      <c r="J59" s="25">
        <f>IF(OR($B59="",$B$4=""),"",SUM(E59:I59))</f>
        <v/>
      </c>
      <c r="K59" s="26">
        <f>IF(J59="",-1,IF(N(D59)&lt;=0,-1,J59+(1000-ROW())/100000))</f>
        <v/>
      </c>
    </row>
    <row r="60">
      <c r="A60" s="24">
        <f>IF(Mentors!$D44="","",Mentors!$A44)</f>
        <v/>
      </c>
      <c r="B60" s="24">
        <f>IF(Mentors!$D44="","",Mentors!$D44)</f>
        <v/>
      </c>
      <c r="C60" s="24">
        <f>IF($B60="","",Mentors!$F44&amp;"")</f>
        <v/>
      </c>
      <c r="D60" s="24">
        <f>IF($B60="","",Mentors!$O44)</f>
        <v/>
      </c>
      <c r="E60" s="24">
        <f>IF(OR($B60="",$B$4=""),"",IF(AND($C60&lt;&gt;"",$C60=$B$7),Settings!$B$7,0))</f>
        <v/>
      </c>
      <c r="F60" s="24">
        <f>IF(OR($B60="",$B$4=""),"",Settings!$B$8*(($B$8&lt;&gt;"")*ISNUMBER(SEARCH($B$8,Mentors!$G44))+($B$9&lt;&gt;"")*ISNUMBER(SEARCH($B$9,Mentors!$G44))+($B$10&lt;&gt;"")*ISNUMBER(SEARCH($B$10,Mentors!$G44))))</f>
        <v/>
      </c>
      <c r="G60" s="24">
        <f>IF(OR($B60="",$B$4=""),"",Settings!$B$9*SUMPRODUCT(ISNUMBER(SEARCH(Settings!$G$4:$G$12,$B$11))*ISNUMBER(SEARCH(Settings!$G$4:$G$12,Mentors!$H44))))</f>
        <v/>
      </c>
      <c r="H60" s="24">
        <f>IF(OR($B60="",$B$4=""),"",Settings!$B$10*SUMPRODUCT(ISNUMBER(SEARCH(Settings!$H$4:$H$7,$B$12))*ISNUMBER(SEARCH(Settings!$H$4:$H$7,Mentors!$I44))))</f>
        <v/>
      </c>
      <c r="I60" s="24">
        <f>IF(OR($B60="",$B$4=""),"",IF(OR($B$13="",$B$13="Either",Mentors!$J44="Either",$B$13=Mentors!$J44),Settings!$B$11,0))</f>
        <v/>
      </c>
      <c r="J60" s="25">
        <f>IF(OR($B60="",$B$4=""),"",SUM(E60:I60))</f>
        <v/>
      </c>
      <c r="K60" s="26">
        <f>IF(J60="",-1,IF(N(D60)&lt;=0,-1,J60+(1000-ROW())/100000))</f>
        <v/>
      </c>
    </row>
    <row r="61">
      <c r="A61" s="24">
        <f>IF(Mentors!$D45="","",Mentors!$A45)</f>
        <v/>
      </c>
      <c r="B61" s="24">
        <f>IF(Mentors!$D45="","",Mentors!$D45)</f>
        <v/>
      </c>
      <c r="C61" s="24">
        <f>IF($B61="","",Mentors!$F45&amp;"")</f>
        <v/>
      </c>
      <c r="D61" s="24">
        <f>IF($B61="","",Mentors!$O45)</f>
        <v/>
      </c>
      <c r="E61" s="24">
        <f>IF(OR($B61="",$B$4=""),"",IF(AND($C61&lt;&gt;"",$C61=$B$7),Settings!$B$7,0))</f>
        <v/>
      </c>
      <c r="F61" s="24">
        <f>IF(OR($B61="",$B$4=""),"",Settings!$B$8*(($B$8&lt;&gt;"")*ISNUMBER(SEARCH($B$8,Mentors!$G45))+($B$9&lt;&gt;"")*ISNUMBER(SEARCH($B$9,Mentors!$G45))+($B$10&lt;&gt;"")*ISNUMBER(SEARCH($B$10,Mentors!$G45))))</f>
        <v/>
      </c>
      <c r="G61" s="24">
        <f>IF(OR($B61="",$B$4=""),"",Settings!$B$9*SUMPRODUCT(ISNUMBER(SEARCH(Settings!$G$4:$G$12,$B$11))*ISNUMBER(SEARCH(Settings!$G$4:$G$12,Mentors!$H45))))</f>
        <v/>
      </c>
      <c r="H61" s="24">
        <f>IF(OR($B61="",$B$4=""),"",Settings!$B$10*SUMPRODUCT(ISNUMBER(SEARCH(Settings!$H$4:$H$7,$B$12))*ISNUMBER(SEARCH(Settings!$H$4:$H$7,Mentors!$I45))))</f>
        <v/>
      </c>
      <c r="I61" s="24">
        <f>IF(OR($B61="",$B$4=""),"",IF(OR($B$13="",$B$13="Either",Mentors!$J45="Either",$B$13=Mentors!$J45),Settings!$B$11,0))</f>
        <v/>
      </c>
      <c r="J61" s="25">
        <f>IF(OR($B61="",$B$4=""),"",SUM(E61:I61))</f>
        <v/>
      </c>
      <c r="K61" s="26">
        <f>IF(J61="",-1,IF(N(D61)&lt;=0,-1,J61+(1000-ROW())/100000))</f>
        <v/>
      </c>
    </row>
    <row r="62">
      <c r="A62" s="24">
        <f>IF(Mentors!$D46="","",Mentors!$A46)</f>
        <v/>
      </c>
      <c r="B62" s="24">
        <f>IF(Mentors!$D46="","",Mentors!$D46)</f>
        <v/>
      </c>
      <c r="C62" s="24">
        <f>IF($B62="","",Mentors!$F46&amp;"")</f>
        <v/>
      </c>
      <c r="D62" s="24">
        <f>IF($B62="","",Mentors!$O46)</f>
        <v/>
      </c>
      <c r="E62" s="24">
        <f>IF(OR($B62="",$B$4=""),"",IF(AND($C62&lt;&gt;"",$C62=$B$7),Settings!$B$7,0))</f>
        <v/>
      </c>
      <c r="F62" s="24">
        <f>IF(OR($B62="",$B$4=""),"",Settings!$B$8*(($B$8&lt;&gt;"")*ISNUMBER(SEARCH($B$8,Mentors!$G46))+($B$9&lt;&gt;"")*ISNUMBER(SEARCH($B$9,Mentors!$G46))+($B$10&lt;&gt;"")*ISNUMBER(SEARCH($B$10,Mentors!$G46))))</f>
        <v/>
      </c>
      <c r="G62" s="24">
        <f>IF(OR($B62="",$B$4=""),"",Settings!$B$9*SUMPRODUCT(ISNUMBER(SEARCH(Settings!$G$4:$G$12,$B$11))*ISNUMBER(SEARCH(Settings!$G$4:$G$12,Mentors!$H46))))</f>
        <v/>
      </c>
      <c r="H62" s="24">
        <f>IF(OR($B62="",$B$4=""),"",Settings!$B$10*SUMPRODUCT(ISNUMBER(SEARCH(Settings!$H$4:$H$7,$B$12))*ISNUMBER(SEARCH(Settings!$H$4:$H$7,Mentors!$I46))))</f>
        <v/>
      </c>
      <c r="I62" s="24">
        <f>IF(OR($B62="",$B$4=""),"",IF(OR($B$13="",$B$13="Either",Mentors!$J46="Either",$B$13=Mentors!$J46),Settings!$B$11,0))</f>
        <v/>
      </c>
      <c r="J62" s="25">
        <f>IF(OR($B62="",$B$4=""),"",SUM(E62:I62))</f>
        <v/>
      </c>
      <c r="K62" s="26">
        <f>IF(J62="",-1,IF(N(D62)&lt;=0,-1,J62+(1000-ROW())/100000))</f>
        <v/>
      </c>
    </row>
    <row r="63">
      <c r="A63" s="24">
        <f>IF(Mentors!$D47="","",Mentors!$A47)</f>
        <v/>
      </c>
      <c r="B63" s="24">
        <f>IF(Mentors!$D47="","",Mentors!$D47)</f>
        <v/>
      </c>
      <c r="C63" s="24">
        <f>IF($B63="","",Mentors!$F47&amp;"")</f>
        <v/>
      </c>
      <c r="D63" s="24">
        <f>IF($B63="","",Mentors!$O47)</f>
        <v/>
      </c>
      <c r="E63" s="24">
        <f>IF(OR($B63="",$B$4=""),"",IF(AND($C63&lt;&gt;"",$C63=$B$7),Settings!$B$7,0))</f>
        <v/>
      </c>
      <c r="F63" s="24">
        <f>IF(OR($B63="",$B$4=""),"",Settings!$B$8*(($B$8&lt;&gt;"")*ISNUMBER(SEARCH($B$8,Mentors!$G47))+($B$9&lt;&gt;"")*ISNUMBER(SEARCH($B$9,Mentors!$G47))+($B$10&lt;&gt;"")*ISNUMBER(SEARCH($B$10,Mentors!$G47))))</f>
        <v/>
      </c>
      <c r="G63" s="24">
        <f>IF(OR($B63="",$B$4=""),"",Settings!$B$9*SUMPRODUCT(ISNUMBER(SEARCH(Settings!$G$4:$G$12,$B$11))*ISNUMBER(SEARCH(Settings!$G$4:$G$12,Mentors!$H47))))</f>
        <v/>
      </c>
      <c r="H63" s="24">
        <f>IF(OR($B63="",$B$4=""),"",Settings!$B$10*SUMPRODUCT(ISNUMBER(SEARCH(Settings!$H$4:$H$7,$B$12))*ISNUMBER(SEARCH(Settings!$H$4:$H$7,Mentors!$I47))))</f>
        <v/>
      </c>
      <c r="I63" s="24">
        <f>IF(OR($B63="",$B$4=""),"",IF(OR($B$13="",$B$13="Either",Mentors!$J47="Either",$B$13=Mentors!$J47),Settings!$B$11,0))</f>
        <v/>
      </c>
      <c r="J63" s="25">
        <f>IF(OR($B63="",$B$4=""),"",SUM(E63:I63))</f>
        <v/>
      </c>
      <c r="K63" s="26">
        <f>IF(J63="",-1,IF(N(D63)&lt;=0,-1,J63+(1000-ROW())/100000))</f>
        <v/>
      </c>
    </row>
    <row r="64">
      <c r="A64" s="24">
        <f>IF(Mentors!$D48="","",Mentors!$A48)</f>
        <v/>
      </c>
      <c r="B64" s="24">
        <f>IF(Mentors!$D48="","",Mentors!$D48)</f>
        <v/>
      </c>
      <c r="C64" s="24">
        <f>IF($B64="","",Mentors!$F48&amp;"")</f>
        <v/>
      </c>
      <c r="D64" s="24">
        <f>IF($B64="","",Mentors!$O48)</f>
        <v/>
      </c>
      <c r="E64" s="24">
        <f>IF(OR($B64="",$B$4=""),"",IF(AND($C64&lt;&gt;"",$C64=$B$7),Settings!$B$7,0))</f>
        <v/>
      </c>
      <c r="F64" s="24">
        <f>IF(OR($B64="",$B$4=""),"",Settings!$B$8*(($B$8&lt;&gt;"")*ISNUMBER(SEARCH($B$8,Mentors!$G48))+($B$9&lt;&gt;"")*ISNUMBER(SEARCH($B$9,Mentors!$G48))+($B$10&lt;&gt;"")*ISNUMBER(SEARCH($B$10,Mentors!$G48))))</f>
        <v/>
      </c>
      <c r="G64" s="24">
        <f>IF(OR($B64="",$B$4=""),"",Settings!$B$9*SUMPRODUCT(ISNUMBER(SEARCH(Settings!$G$4:$G$12,$B$11))*ISNUMBER(SEARCH(Settings!$G$4:$G$12,Mentors!$H48))))</f>
        <v/>
      </c>
      <c r="H64" s="24">
        <f>IF(OR($B64="",$B$4=""),"",Settings!$B$10*SUMPRODUCT(ISNUMBER(SEARCH(Settings!$H$4:$H$7,$B$12))*ISNUMBER(SEARCH(Settings!$H$4:$H$7,Mentors!$I48))))</f>
        <v/>
      </c>
      <c r="I64" s="24">
        <f>IF(OR($B64="",$B$4=""),"",IF(OR($B$13="",$B$13="Either",Mentors!$J48="Either",$B$13=Mentors!$J48),Settings!$B$11,0))</f>
        <v/>
      </c>
      <c r="J64" s="25">
        <f>IF(OR($B64="",$B$4=""),"",SUM(E64:I64))</f>
        <v/>
      </c>
      <c r="K64" s="26">
        <f>IF(J64="",-1,IF(N(D64)&lt;=0,-1,J64+(1000-ROW())/100000))</f>
        <v/>
      </c>
    </row>
    <row r="65">
      <c r="A65" s="24">
        <f>IF(Mentors!$D49="","",Mentors!$A49)</f>
        <v/>
      </c>
      <c r="B65" s="24">
        <f>IF(Mentors!$D49="","",Mentors!$D49)</f>
        <v/>
      </c>
      <c r="C65" s="24">
        <f>IF($B65="","",Mentors!$F49&amp;"")</f>
        <v/>
      </c>
      <c r="D65" s="24">
        <f>IF($B65="","",Mentors!$O49)</f>
        <v/>
      </c>
      <c r="E65" s="24">
        <f>IF(OR($B65="",$B$4=""),"",IF(AND($C65&lt;&gt;"",$C65=$B$7),Settings!$B$7,0))</f>
        <v/>
      </c>
      <c r="F65" s="24">
        <f>IF(OR($B65="",$B$4=""),"",Settings!$B$8*(($B$8&lt;&gt;"")*ISNUMBER(SEARCH($B$8,Mentors!$G49))+($B$9&lt;&gt;"")*ISNUMBER(SEARCH($B$9,Mentors!$G49))+($B$10&lt;&gt;"")*ISNUMBER(SEARCH($B$10,Mentors!$G49))))</f>
        <v/>
      </c>
      <c r="G65" s="24">
        <f>IF(OR($B65="",$B$4=""),"",Settings!$B$9*SUMPRODUCT(ISNUMBER(SEARCH(Settings!$G$4:$G$12,$B$11))*ISNUMBER(SEARCH(Settings!$G$4:$G$12,Mentors!$H49))))</f>
        <v/>
      </c>
      <c r="H65" s="24">
        <f>IF(OR($B65="",$B$4=""),"",Settings!$B$10*SUMPRODUCT(ISNUMBER(SEARCH(Settings!$H$4:$H$7,$B$12))*ISNUMBER(SEARCH(Settings!$H$4:$H$7,Mentors!$I49))))</f>
        <v/>
      </c>
      <c r="I65" s="24">
        <f>IF(OR($B65="",$B$4=""),"",IF(OR($B$13="",$B$13="Either",Mentors!$J49="Either",$B$13=Mentors!$J49),Settings!$B$11,0))</f>
        <v/>
      </c>
      <c r="J65" s="25">
        <f>IF(OR($B65="",$B$4=""),"",SUM(E65:I65))</f>
        <v/>
      </c>
      <c r="K65" s="26">
        <f>IF(J65="",-1,IF(N(D65)&lt;=0,-1,J65+(1000-ROW())/100000))</f>
        <v/>
      </c>
    </row>
    <row r="66">
      <c r="A66" s="24">
        <f>IF(Mentors!$D50="","",Mentors!$A50)</f>
        <v/>
      </c>
      <c r="B66" s="24">
        <f>IF(Mentors!$D50="","",Mentors!$D50)</f>
        <v/>
      </c>
      <c r="C66" s="24">
        <f>IF($B66="","",Mentors!$F50&amp;"")</f>
        <v/>
      </c>
      <c r="D66" s="24">
        <f>IF($B66="","",Mentors!$O50)</f>
        <v/>
      </c>
      <c r="E66" s="24">
        <f>IF(OR($B66="",$B$4=""),"",IF(AND($C66&lt;&gt;"",$C66=$B$7),Settings!$B$7,0))</f>
        <v/>
      </c>
      <c r="F66" s="24">
        <f>IF(OR($B66="",$B$4=""),"",Settings!$B$8*(($B$8&lt;&gt;"")*ISNUMBER(SEARCH($B$8,Mentors!$G50))+($B$9&lt;&gt;"")*ISNUMBER(SEARCH($B$9,Mentors!$G50))+($B$10&lt;&gt;"")*ISNUMBER(SEARCH($B$10,Mentors!$G50))))</f>
        <v/>
      </c>
      <c r="G66" s="24">
        <f>IF(OR($B66="",$B$4=""),"",Settings!$B$9*SUMPRODUCT(ISNUMBER(SEARCH(Settings!$G$4:$G$12,$B$11))*ISNUMBER(SEARCH(Settings!$G$4:$G$12,Mentors!$H50))))</f>
        <v/>
      </c>
      <c r="H66" s="24">
        <f>IF(OR($B66="",$B$4=""),"",Settings!$B$10*SUMPRODUCT(ISNUMBER(SEARCH(Settings!$H$4:$H$7,$B$12))*ISNUMBER(SEARCH(Settings!$H$4:$H$7,Mentors!$I50))))</f>
        <v/>
      </c>
      <c r="I66" s="24">
        <f>IF(OR($B66="",$B$4=""),"",IF(OR($B$13="",$B$13="Either",Mentors!$J50="Either",$B$13=Mentors!$J50),Settings!$B$11,0))</f>
        <v/>
      </c>
      <c r="J66" s="25">
        <f>IF(OR($B66="",$B$4=""),"",SUM(E66:I66))</f>
        <v/>
      </c>
      <c r="K66" s="26">
        <f>IF(J66="",-1,IF(N(D66)&lt;=0,-1,J66+(1000-ROW())/100000))</f>
        <v/>
      </c>
    </row>
    <row r="67">
      <c r="A67" s="24">
        <f>IF(Mentors!$D51="","",Mentors!$A51)</f>
        <v/>
      </c>
      <c r="B67" s="24">
        <f>IF(Mentors!$D51="","",Mentors!$D51)</f>
        <v/>
      </c>
      <c r="C67" s="24">
        <f>IF($B67="","",Mentors!$F51&amp;"")</f>
        <v/>
      </c>
      <c r="D67" s="24">
        <f>IF($B67="","",Mentors!$O51)</f>
        <v/>
      </c>
      <c r="E67" s="24">
        <f>IF(OR($B67="",$B$4=""),"",IF(AND($C67&lt;&gt;"",$C67=$B$7),Settings!$B$7,0))</f>
        <v/>
      </c>
      <c r="F67" s="24">
        <f>IF(OR($B67="",$B$4=""),"",Settings!$B$8*(($B$8&lt;&gt;"")*ISNUMBER(SEARCH($B$8,Mentors!$G51))+($B$9&lt;&gt;"")*ISNUMBER(SEARCH($B$9,Mentors!$G51))+($B$10&lt;&gt;"")*ISNUMBER(SEARCH($B$10,Mentors!$G51))))</f>
        <v/>
      </c>
      <c r="G67" s="24">
        <f>IF(OR($B67="",$B$4=""),"",Settings!$B$9*SUMPRODUCT(ISNUMBER(SEARCH(Settings!$G$4:$G$12,$B$11))*ISNUMBER(SEARCH(Settings!$G$4:$G$12,Mentors!$H51))))</f>
        <v/>
      </c>
      <c r="H67" s="24">
        <f>IF(OR($B67="",$B$4=""),"",Settings!$B$10*SUMPRODUCT(ISNUMBER(SEARCH(Settings!$H$4:$H$7,$B$12))*ISNUMBER(SEARCH(Settings!$H$4:$H$7,Mentors!$I51))))</f>
        <v/>
      </c>
      <c r="I67" s="24">
        <f>IF(OR($B67="",$B$4=""),"",IF(OR($B$13="",$B$13="Either",Mentors!$J51="Either",$B$13=Mentors!$J51),Settings!$B$11,0))</f>
        <v/>
      </c>
      <c r="J67" s="25">
        <f>IF(OR($B67="",$B$4=""),"",SUM(E67:I67))</f>
        <v/>
      </c>
      <c r="K67" s="26">
        <f>IF(J67="",-1,IF(N(D67)&lt;=0,-1,J67+(1000-ROW())/100000))</f>
        <v/>
      </c>
    </row>
    <row r="68">
      <c r="A68" s="24">
        <f>IF(Mentors!$D52="","",Mentors!$A52)</f>
        <v/>
      </c>
      <c r="B68" s="24">
        <f>IF(Mentors!$D52="","",Mentors!$D52)</f>
        <v/>
      </c>
      <c r="C68" s="24">
        <f>IF($B68="","",Mentors!$F52&amp;"")</f>
        <v/>
      </c>
      <c r="D68" s="24">
        <f>IF($B68="","",Mentors!$O52)</f>
        <v/>
      </c>
      <c r="E68" s="24">
        <f>IF(OR($B68="",$B$4=""),"",IF(AND($C68&lt;&gt;"",$C68=$B$7),Settings!$B$7,0))</f>
        <v/>
      </c>
      <c r="F68" s="24">
        <f>IF(OR($B68="",$B$4=""),"",Settings!$B$8*(($B$8&lt;&gt;"")*ISNUMBER(SEARCH($B$8,Mentors!$G52))+($B$9&lt;&gt;"")*ISNUMBER(SEARCH($B$9,Mentors!$G52))+($B$10&lt;&gt;"")*ISNUMBER(SEARCH($B$10,Mentors!$G52))))</f>
        <v/>
      </c>
      <c r="G68" s="24">
        <f>IF(OR($B68="",$B$4=""),"",Settings!$B$9*SUMPRODUCT(ISNUMBER(SEARCH(Settings!$G$4:$G$12,$B$11))*ISNUMBER(SEARCH(Settings!$G$4:$G$12,Mentors!$H52))))</f>
        <v/>
      </c>
      <c r="H68" s="24">
        <f>IF(OR($B68="",$B$4=""),"",Settings!$B$10*SUMPRODUCT(ISNUMBER(SEARCH(Settings!$H$4:$H$7,$B$12))*ISNUMBER(SEARCH(Settings!$H$4:$H$7,Mentors!$I52))))</f>
        <v/>
      </c>
      <c r="I68" s="24">
        <f>IF(OR($B68="",$B$4=""),"",IF(OR($B$13="",$B$13="Either",Mentors!$J52="Either",$B$13=Mentors!$J52),Settings!$B$11,0))</f>
        <v/>
      </c>
      <c r="J68" s="25">
        <f>IF(OR($B68="",$B$4=""),"",SUM(E68:I68))</f>
        <v/>
      </c>
      <c r="K68" s="26">
        <f>IF(J68="",-1,IF(N(D68)&lt;=0,-1,J68+(1000-ROW())/100000))</f>
        <v/>
      </c>
    </row>
    <row r="69">
      <c r="A69" s="24">
        <f>IF(Mentors!$D53="","",Mentors!$A53)</f>
        <v/>
      </c>
      <c r="B69" s="24">
        <f>IF(Mentors!$D53="","",Mentors!$D53)</f>
        <v/>
      </c>
      <c r="C69" s="24">
        <f>IF($B69="","",Mentors!$F53&amp;"")</f>
        <v/>
      </c>
      <c r="D69" s="24">
        <f>IF($B69="","",Mentors!$O53)</f>
        <v/>
      </c>
      <c r="E69" s="24">
        <f>IF(OR($B69="",$B$4=""),"",IF(AND($C69&lt;&gt;"",$C69=$B$7),Settings!$B$7,0))</f>
        <v/>
      </c>
      <c r="F69" s="24">
        <f>IF(OR($B69="",$B$4=""),"",Settings!$B$8*(($B$8&lt;&gt;"")*ISNUMBER(SEARCH($B$8,Mentors!$G53))+($B$9&lt;&gt;"")*ISNUMBER(SEARCH($B$9,Mentors!$G53))+($B$10&lt;&gt;"")*ISNUMBER(SEARCH($B$10,Mentors!$G53))))</f>
        <v/>
      </c>
      <c r="G69" s="24">
        <f>IF(OR($B69="",$B$4=""),"",Settings!$B$9*SUMPRODUCT(ISNUMBER(SEARCH(Settings!$G$4:$G$12,$B$11))*ISNUMBER(SEARCH(Settings!$G$4:$G$12,Mentors!$H53))))</f>
        <v/>
      </c>
      <c r="H69" s="24">
        <f>IF(OR($B69="",$B$4=""),"",Settings!$B$10*SUMPRODUCT(ISNUMBER(SEARCH(Settings!$H$4:$H$7,$B$12))*ISNUMBER(SEARCH(Settings!$H$4:$H$7,Mentors!$I53))))</f>
        <v/>
      </c>
      <c r="I69" s="24">
        <f>IF(OR($B69="",$B$4=""),"",IF(OR($B$13="",$B$13="Either",Mentors!$J53="Either",$B$13=Mentors!$J53),Settings!$B$11,0))</f>
        <v/>
      </c>
      <c r="J69" s="25">
        <f>IF(OR($B69="",$B$4=""),"",SUM(E69:I69))</f>
        <v/>
      </c>
      <c r="K69" s="26">
        <f>IF(J69="",-1,IF(N(D69)&lt;=0,-1,J69+(1000-ROW())/100000))</f>
        <v/>
      </c>
    </row>
    <row r="70">
      <c r="A70" s="24">
        <f>IF(Mentors!$D54="","",Mentors!$A54)</f>
        <v/>
      </c>
      <c r="B70" s="24">
        <f>IF(Mentors!$D54="","",Mentors!$D54)</f>
        <v/>
      </c>
      <c r="C70" s="24">
        <f>IF($B70="","",Mentors!$F54&amp;"")</f>
        <v/>
      </c>
      <c r="D70" s="24">
        <f>IF($B70="","",Mentors!$O54)</f>
        <v/>
      </c>
      <c r="E70" s="24">
        <f>IF(OR($B70="",$B$4=""),"",IF(AND($C70&lt;&gt;"",$C70=$B$7),Settings!$B$7,0))</f>
        <v/>
      </c>
      <c r="F70" s="24">
        <f>IF(OR($B70="",$B$4=""),"",Settings!$B$8*(($B$8&lt;&gt;"")*ISNUMBER(SEARCH($B$8,Mentors!$G54))+($B$9&lt;&gt;"")*ISNUMBER(SEARCH($B$9,Mentors!$G54))+($B$10&lt;&gt;"")*ISNUMBER(SEARCH($B$10,Mentors!$G54))))</f>
        <v/>
      </c>
      <c r="G70" s="24">
        <f>IF(OR($B70="",$B$4=""),"",Settings!$B$9*SUMPRODUCT(ISNUMBER(SEARCH(Settings!$G$4:$G$12,$B$11))*ISNUMBER(SEARCH(Settings!$G$4:$G$12,Mentors!$H54))))</f>
        <v/>
      </c>
      <c r="H70" s="24">
        <f>IF(OR($B70="",$B$4=""),"",Settings!$B$10*SUMPRODUCT(ISNUMBER(SEARCH(Settings!$H$4:$H$7,$B$12))*ISNUMBER(SEARCH(Settings!$H$4:$H$7,Mentors!$I54))))</f>
        <v/>
      </c>
      <c r="I70" s="24">
        <f>IF(OR($B70="",$B$4=""),"",IF(OR($B$13="",$B$13="Either",Mentors!$J54="Either",$B$13=Mentors!$J54),Settings!$B$11,0))</f>
        <v/>
      </c>
      <c r="J70" s="25">
        <f>IF(OR($B70="",$B$4=""),"",SUM(E70:I70))</f>
        <v/>
      </c>
      <c r="K70" s="26">
        <f>IF(J70="",-1,IF(N(D70)&lt;=0,-1,J70+(1000-ROW())/100000))</f>
        <v/>
      </c>
    </row>
    <row r="71">
      <c r="A71" s="24">
        <f>IF(Mentors!$D55="","",Mentors!$A55)</f>
        <v/>
      </c>
      <c r="B71" s="24">
        <f>IF(Mentors!$D55="","",Mentors!$D55)</f>
        <v/>
      </c>
      <c r="C71" s="24">
        <f>IF($B71="","",Mentors!$F55&amp;"")</f>
        <v/>
      </c>
      <c r="D71" s="24">
        <f>IF($B71="","",Mentors!$O55)</f>
        <v/>
      </c>
      <c r="E71" s="24">
        <f>IF(OR($B71="",$B$4=""),"",IF(AND($C71&lt;&gt;"",$C71=$B$7),Settings!$B$7,0))</f>
        <v/>
      </c>
      <c r="F71" s="24">
        <f>IF(OR($B71="",$B$4=""),"",Settings!$B$8*(($B$8&lt;&gt;"")*ISNUMBER(SEARCH($B$8,Mentors!$G55))+($B$9&lt;&gt;"")*ISNUMBER(SEARCH($B$9,Mentors!$G55))+($B$10&lt;&gt;"")*ISNUMBER(SEARCH($B$10,Mentors!$G55))))</f>
        <v/>
      </c>
      <c r="G71" s="24">
        <f>IF(OR($B71="",$B$4=""),"",Settings!$B$9*SUMPRODUCT(ISNUMBER(SEARCH(Settings!$G$4:$G$12,$B$11))*ISNUMBER(SEARCH(Settings!$G$4:$G$12,Mentors!$H55))))</f>
        <v/>
      </c>
      <c r="H71" s="24">
        <f>IF(OR($B71="",$B$4=""),"",Settings!$B$10*SUMPRODUCT(ISNUMBER(SEARCH(Settings!$H$4:$H$7,$B$12))*ISNUMBER(SEARCH(Settings!$H$4:$H$7,Mentors!$I55))))</f>
        <v/>
      </c>
      <c r="I71" s="24">
        <f>IF(OR($B71="",$B$4=""),"",IF(OR($B$13="",$B$13="Either",Mentors!$J55="Either",$B$13=Mentors!$J55),Settings!$B$11,0))</f>
        <v/>
      </c>
      <c r="J71" s="25">
        <f>IF(OR($B71="",$B$4=""),"",SUM(E71:I71))</f>
        <v/>
      </c>
      <c r="K71" s="26">
        <f>IF(J71="",-1,IF(N(D71)&lt;=0,-1,J71+(1000-ROW())/100000))</f>
        <v/>
      </c>
    </row>
    <row r="72">
      <c r="A72" s="24">
        <f>IF(Mentors!$D56="","",Mentors!$A56)</f>
        <v/>
      </c>
      <c r="B72" s="24">
        <f>IF(Mentors!$D56="","",Mentors!$D56)</f>
        <v/>
      </c>
      <c r="C72" s="24">
        <f>IF($B72="","",Mentors!$F56&amp;"")</f>
        <v/>
      </c>
      <c r="D72" s="24">
        <f>IF($B72="","",Mentors!$O56)</f>
        <v/>
      </c>
      <c r="E72" s="24">
        <f>IF(OR($B72="",$B$4=""),"",IF(AND($C72&lt;&gt;"",$C72=$B$7),Settings!$B$7,0))</f>
        <v/>
      </c>
      <c r="F72" s="24">
        <f>IF(OR($B72="",$B$4=""),"",Settings!$B$8*(($B$8&lt;&gt;"")*ISNUMBER(SEARCH($B$8,Mentors!$G56))+($B$9&lt;&gt;"")*ISNUMBER(SEARCH($B$9,Mentors!$G56))+($B$10&lt;&gt;"")*ISNUMBER(SEARCH($B$10,Mentors!$G56))))</f>
        <v/>
      </c>
      <c r="G72" s="24">
        <f>IF(OR($B72="",$B$4=""),"",Settings!$B$9*SUMPRODUCT(ISNUMBER(SEARCH(Settings!$G$4:$G$12,$B$11))*ISNUMBER(SEARCH(Settings!$G$4:$G$12,Mentors!$H56))))</f>
        <v/>
      </c>
      <c r="H72" s="24">
        <f>IF(OR($B72="",$B$4=""),"",Settings!$B$10*SUMPRODUCT(ISNUMBER(SEARCH(Settings!$H$4:$H$7,$B$12))*ISNUMBER(SEARCH(Settings!$H$4:$H$7,Mentors!$I56))))</f>
        <v/>
      </c>
      <c r="I72" s="24">
        <f>IF(OR($B72="",$B$4=""),"",IF(OR($B$13="",$B$13="Either",Mentors!$J56="Either",$B$13=Mentors!$J56),Settings!$B$11,0))</f>
        <v/>
      </c>
      <c r="J72" s="25">
        <f>IF(OR($B72="",$B$4=""),"",SUM(E72:I72))</f>
        <v/>
      </c>
      <c r="K72" s="26">
        <f>IF(J72="",-1,IF(N(D72)&lt;=0,-1,J72+(1000-ROW())/100000))</f>
        <v/>
      </c>
    </row>
    <row r="73">
      <c r="A73" s="24">
        <f>IF(Mentors!$D57="","",Mentors!$A57)</f>
        <v/>
      </c>
      <c r="B73" s="24">
        <f>IF(Mentors!$D57="","",Mentors!$D57)</f>
        <v/>
      </c>
      <c r="C73" s="24">
        <f>IF($B73="","",Mentors!$F57&amp;"")</f>
        <v/>
      </c>
      <c r="D73" s="24">
        <f>IF($B73="","",Mentors!$O57)</f>
        <v/>
      </c>
      <c r="E73" s="24">
        <f>IF(OR($B73="",$B$4=""),"",IF(AND($C73&lt;&gt;"",$C73=$B$7),Settings!$B$7,0))</f>
        <v/>
      </c>
      <c r="F73" s="24">
        <f>IF(OR($B73="",$B$4=""),"",Settings!$B$8*(($B$8&lt;&gt;"")*ISNUMBER(SEARCH($B$8,Mentors!$G57))+($B$9&lt;&gt;"")*ISNUMBER(SEARCH($B$9,Mentors!$G57))+($B$10&lt;&gt;"")*ISNUMBER(SEARCH($B$10,Mentors!$G57))))</f>
        <v/>
      </c>
      <c r="G73" s="24">
        <f>IF(OR($B73="",$B$4=""),"",Settings!$B$9*SUMPRODUCT(ISNUMBER(SEARCH(Settings!$G$4:$G$12,$B$11))*ISNUMBER(SEARCH(Settings!$G$4:$G$12,Mentors!$H57))))</f>
        <v/>
      </c>
      <c r="H73" s="24">
        <f>IF(OR($B73="",$B$4=""),"",Settings!$B$10*SUMPRODUCT(ISNUMBER(SEARCH(Settings!$H$4:$H$7,$B$12))*ISNUMBER(SEARCH(Settings!$H$4:$H$7,Mentors!$I57))))</f>
        <v/>
      </c>
      <c r="I73" s="24">
        <f>IF(OR($B73="",$B$4=""),"",IF(OR($B$13="",$B$13="Either",Mentors!$J57="Either",$B$13=Mentors!$J57),Settings!$B$11,0))</f>
        <v/>
      </c>
      <c r="J73" s="25">
        <f>IF(OR($B73="",$B$4=""),"",SUM(E73:I73))</f>
        <v/>
      </c>
      <c r="K73" s="26">
        <f>IF(J73="",-1,IF(N(D73)&lt;=0,-1,J73+(1000-ROW())/100000))</f>
        <v/>
      </c>
    </row>
    <row r="74">
      <c r="A74" s="24">
        <f>IF(Mentors!$D58="","",Mentors!$A58)</f>
        <v/>
      </c>
      <c r="B74" s="24">
        <f>IF(Mentors!$D58="","",Mentors!$D58)</f>
        <v/>
      </c>
      <c r="C74" s="24">
        <f>IF($B74="","",Mentors!$F58&amp;"")</f>
        <v/>
      </c>
      <c r="D74" s="24">
        <f>IF($B74="","",Mentors!$O58)</f>
        <v/>
      </c>
      <c r="E74" s="24">
        <f>IF(OR($B74="",$B$4=""),"",IF(AND($C74&lt;&gt;"",$C74=$B$7),Settings!$B$7,0))</f>
        <v/>
      </c>
      <c r="F74" s="24">
        <f>IF(OR($B74="",$B$4=""),"",Settings!$B$8*(($B$8&lt;&gt;"")*ISNUMBER(SEARCH($B$8,Mentors!$G58))+($B$9&lt;&gt;"")*ISNUMBER(SEARCH($B$9,Mentors!$G58))+($B$10&lt;&gt;"")*ISNUMBER(SEARCH($B$10,Mentors!$G58))))</f>
        <v/>
      </c>
      <c r="G74" s="24">
        <f>IF(OR($B74="",$B$4=""),"",Settings!$B$9*SUMPRODUCT(ISNUMBER(SEARCH(Settings!$G$4:$G$12,$B$11))*ISNUMBER(SEARCH(Settings!$G$4:$G$12,Mentors!$H58))))</f>
        <v/>
      </c>
      <c r="H74" s="24">
        <f>IF(OR($B74="",$B$4=""),"",Settings!$B$10*SUMPRODUCT(ISNUMBER(SEARCH(Settings!$H$4:$H$7,$B$12))*ISNUMBER(SEARCH(Settings!$H$4:$H$7,Mentors!$I58))))</f>
        <v/>
      </c>
      <c r="I74" s="24">
        <f>IF(OR($B74="",$B$4=""),"",IF(OR($B$13="",$B$13="Either",Mentors!$J58="Either",$B$13=Mentors!$J58),Settings!$B$11,0))</f>
        <v/>
      </c>
      <c r="J74" s="25">
        <f>IF(OR($B74="",$B$4=""),"",SUM(E74:I74))</f>
        <v/>
      </c>
      <c r="K74" s="26">
        <f>IF(J74="",-1,IF(N(D74)&lt;=0,-1,J74+(1000-ROW())/100000))</f>
        <v/>
      </c>
    </row>
    <row r="75">
      <c r="A75" s="24">
        <f>IF(Mentors!$D59="","",Mentors!$A59)</f>
        <v/>
      </c>
      <c r="B75" s="24">
        <f>IF(Mentors!$D59="","",Mentors!$D59)</f>
        <v/>
      </c>
      <c r="C75" s="24">
        <f>IF($B75="","",Mentors!$F59&amp;"")</f>
        <v/>
      </c>
      <c r="D75" s="24">
        <f>IF($B75="","",Mentors!$O59)</f>
        <v/>
      </c>
      <c r="E75" s="24">
        <f>IF(OR($B75="",$B$4=""),"",IF(AND($C75&lt;&gt;"",$C75=$B$7),Settings!$B$7,0))</f>
        <v/>
      </c>
      <c r="F75" s="24">
        <f>IF(OR($B75="",$B$4=""),"",Settings!$B$8*(($B$8&lt;&gt;"")*ISNUMBER(SEARCH($B$8,Mentors!$G59))+($B$9&lt;&gt;"")*ISNUMBER(SEARCH($B$9,Mentors!$G59))+($B$10&lt;&gt;"")*ISNUMBER(SEARCH($B$10,Mentors!$G59))))</f>
        <v/>
      </c>
      <c r="G75" s="24">
        <f>IF(OR($B75="",$B$4=""),"",Settings!$B$9*SUMPRODUCT(ISNUMBER(SEARCH(Settings!$G$4:$G$12,$B$11))*ISNUMBER(SEARCH(Settings!$G$4:$G$12,Mentors!$H59))))</f>
        <v/>
      </c>
      <c r="H75" s="24">
        <f>IF(OR($B75="",$B$4=""),"",Settings!$B$10*SUMPRODUCT(ISNUMBER(SEARCH(Settings!$H$4:$H$7,$B$12))*ISNUMBER(SEARCH(Settings!$H$4:$H$7,Mentors!$I59))))</f>
        <v/>
      </c>
      <c r="I75" s="24">
        <f>IF(OR($B75="",$B$4=""),"",IF(OR($B$13="",$B$13="Either",Mentors!$J59="Either",$B$13=Mentors!$J59),Settings!$B$11,0))</f>
        <v/>
      </c>
      <c r="J75" s="25">
        <f>IF(OR($B75="",$B$4=""),"",SUM(E75:I75))</f>
        <v/>
      </c>
      <c r="K75" s="26">
        <f>IF(J75="",-1,IF(N(D75)&lt;=0,-1,J75+(1000-ROW())/100000))</f>
        <v/>
      </c>
    </row>
    <row r="76">
      <c r="A76" s="24">
        <f>IF(Mentors!$D60="","",Mentors!$A60)</f>
        <v/>
      </c>
      <c r="B76" s="24">
        <f>IF(Mentors!$D60="","",Mentors!$D60)</f>
        <v/>
      </c>
      <c r="C76" s="24">
        <f>IF($B76="","",Mentors!$F60&amp;"")</f>
        <v/>
      </c>
      <c r="D76" s="24">
        <f>IF($B76="","",Mentors!$O60)</f>
        <v/>
      </c>
      <c r="E76" s="24">
        <f>IF(OR($B76="",$B$4=""),"",IF(AND($C76&lt;&gt;"",$C76=$B$7),Settings!$B$7,0))</f>
        <v/>
      </c>
      <c r="F76" s="24">
        <f>IF(OR($B76="",$B$4=""),"",Settings!$B$8*(($B$8&lt;&gt;"")*ISNUMBER(SEARCH($B$8,Mentors!$G60))+($B$9&lt;&gt;"")*ISNUMBER(SEARCH($B$9,Mentors!$G60))+($B$10&lt;&gt;"")*ISNUMBER(SEARCH($B$10,Mentors!$G60))))</f>
        <v/>
      </c>
      <c r="G76" s="24">
        <f>IF(OR($B76="",$B$4=""),"",Settings!$B$9*SUMPRODUCT(ISNUMBER(SEARCH(Settings!$G$4:$G$12,$B$11))*ISNUMBER(SEARCH(Settings!$G$4:$G$12,Mentors!$H60))))</f>
        <v/>
      </c>
      <c r="H76" s="24">
        <f>IF(OR($B76="",$B$4=""),"",Settings!$B$10*SUMPRODUCT(ISNUMBER(SEARCH(Settings!$H$4:$H$7,$B$12))*ISNUMBER(SEARCH(Settings!$H$4:$H$7,Mentors!$I60))))</f>
        <v/>
      </c>
      <c r="I76" s="24">
        <f>IF(OR($B76="",$B$4=""),"",IF(OR($B$13="",$B$13="Either",Mentors!$J60="Either",$B$13=Mentors!$J60),Settings!$B$11,0))</f>
        <v/>
      </c>
      <c r="J76" s="25">
        <f>IF(OR($B76="",$B$4=""),"",SUM(E76:I76))</f>
        <v/>
      </c>
      <c r="K76" s="26">
        <f>IF(J76="",-1,IF(N(D76)&lt;=0,-1,J76+(1000-ROW())/100000))</f>
        <v/>
      </c>
    </row>
    <row r="77">
      <c r="A77" s="24">
        <f>IF(Mentors!$D61="","",Mentors!$A61)</f>
        <v/>
      </c>
      <c r="B77" s="24">
        <f>IF(Mentors!$D61="","",Mentors!$D61)</f>
        <v/>
      </c>
      <c r="C77" s="24">
        <f>IF($B77="","",Mentors!$F61&amp;"")</f>
        <v/>
      </c>
      <c r="D77" s="24">
        <f>IF($B77="","",Mentors!$O61)</f>
        <v/>
      </c>
      <c r="E77" s="24">
        <f>IF(OR($B77="",$B$4=""),"",IF(AND($C77&lt;&gt;"",$C77=$B$7),Settings!$B$7,0))</f>
        <v/>
      </c>
      <c r="F77" s="24">
        <f>IF(OR($B77="",$B$4=""),"",Settings!$B$8*(($B$8&lt;&gt;"")*ISNUMBER(SEARCH($B$8,Mentors!$G61))+($B$9&lt;&gt;"")*ISNUMBER(SEARCH($B$9,Mentors!$G61))+($B$10&lt;&gt;"")*ISNUMBER(SEARCH($B$10,Mentors!$G61))))</f>
        <v/>
      </c>
      <c r="G77" s="24">
        <f>IF(OR($B77="",$B$4=""),"",Settings!$B$9*SUMPRODUCT(ISNUMBER(SEARCH(Settings!$G$4:$G$12,$B$11))*ISNUMBER(SEARCH(Settings!$G$4:$G$12,Mentors!$H61))))</f>
        <v/>
      </c>
      <c r="H77" s="24">
        <f>IF(OR($B77="",$B$4=""),"",Settings!$B$10*SUMPRODUCT(ISNUMBER(SEARCH(Settings!$H$4:$H$7,$B$12))*ISNUMBER(SEARCH(Settings!$H$4:$H$7,Mentors!$I61))))</f>
        <v/>
      </c>
      <c r="I77" s="24">
        <f>IF(OR($B77="",$B$4=""),"",IF(OR($B$13="",$B$13="Either",Mentors!$J61="Either",$B$13=Mentors!$J61),Settings!$B$11,0))</f>
        <v/>
      </c>
      <c r="J77" s="25">
        <f>IF(OR($B77="",$B$4=""),"",SUM(E77:I77))</f>
        <v/>
      </c>
      <c r="K77" s="26">
        <f>IF(J77="",-1,IF(N(D77)&lt;=0,-1,J77+(1000-ROW())/100000))</f>
        <v/>
      </c>
    </row>
    <row r="78">
      <c r="A78" s="24">
        <f>IF(Mentors!$D62="","",Mentors!$A62)</f>
        <v/>
      </c>
      <c r="B78" s="24">
        <f>IF(Mentors!$D62="","",Mentors!$D62)</f>
        <v/>
      </c>
      <c r="C78" s="24">
        <f>IF($B78="","",Mentors!$F62&amp;"")</f>
        <v/>
      </c>
      <c r="D78" s="24">
        <f>IF($B78="","",Mentors!$O62)</f>
        <v/>
      </c>
      <c r="E78" s="24">
        <f>IF(OR($B78="",$B$4=""),"",IF(AND($C78&lt;&gt;"",$C78=$B$7),Settings!$B$7,0))</f>
        <v/>
      </c>
      <c r="F78" s="24">
        <f>IF(OR($B78="",$B$4=""),"",Settings!$B$8*(($B$8&lt;&gt;"")*ISNUMBER(SEARCH($B$8,Mentors!$G62))+($B$9&lt;&gt;"")*ISNUMBER(SEARCH($B$9,Mentors!$G62))+($B$10&lt;&gt;"")*ISNUMBER(SEARCH($B$10,Mentors!$G62))))</f>
        <v/>
      </c>
      <c r="G78" s="24">
        <f>IF(OR($B78="",$B$4=""),"",Settings!$B$9*SUMPRODUCT(ISNUMBER(SEARCH(Settings!$G$4:$G$12,$B$11))*ISNUMBER(SEARCH(Settings!$G$4:$G$12,Mentors!$H62))))</f>
        <v/>
      </c>
      <c r="H78" s="24">
        <f>IF(OR($B78="",$B$4=""),"",Settings!$B$10*SUMPRODUCT(ISNUMBER(SEARCH(Settings!$H$4:$H$7,$B$12))*ISNUMBER(SEARCH(Settings!$H$4:$H$7,Mentors!$I62))))</f>
        <v/>
      </c>
      <c r="I78" s="24">
        <f>IF(OR($B78="",$B$4=""),"",IF(OR($B$13="",$B$13="Either",Mentors!$J62="Either",$B$13=Mentors!$J62),Settings!$B$11,0))</f>
        <v/>
      </c>
      <c r="J78" s="25">
        <f>IF(OR($B78="",$B$4=""),"",SUM(E78:I78))</f>
        <v/>
      </c>
      <c r="K78" s="26">
        <f>IF(J78="",-1,IF(N(D78)&lt;=0,-1,J78+(1000-ROW())/100000))</f>
        <v/>
      </c>
    </row>
    <row r="79">
      <c r="A79" s="24">
        <f>IF(Mentors!$D63="","",Mentors!$A63)</f>
        <v/>
      </c>
      <c r="B79" s="24">
        <f>IF(Mentors!$D63="","",Mentors!$D63)</f>
        <v/>
      </c>
      <c r="C79" s="24">
        <f>IF($B79="","",Mentors!$F63&amp;"")</f>
        <v/>
      </c>
      <c r="D79" s="24">
        <f>IF($B79="","",Mentors!$O63)</f>
        <v/>
      </c>
      <c r="E79" s="24">
        <f>IF(OR($B79="",$B$4=""),"",IF(AND($C79&lt;&gt;"",$C79=$B$7),Settings!$B$7,0))</f>
        <v/>
      </c>
      <c r="F79" s="24">
        <f>IF(OR($B79="",$B$4=""),"",Settings!$B$8*(($B$8&lt;&gt;"")*ISNUMBER(SEARCH($B$8,Mentors!$G63))+($B$9&lt;&gt;"")*ISNUMBER(SEARCH($B$9,Mentors!$G63))+($B$10&lt;&gt;"")*ISNUMBER(SEARCH($B$10,Mentors!$G63))))</f>
        <v/>
      </c>
      <c r="G79" s="24">
        <f>IF(OR($B79="",$B$4=""),"",Settings!$B$9*SUMPRODUCT(ISNUMBER(SEARCH(Settings!$G$4:$G$12,$B$11))*ISNUMBER(SEARCH(Settings!$G$4:$G$12,Mentors!$H63))))</f>
        <v/>
      </c>
      <c r="H79" s="24">
        <f>IF(OR($B79="",$B$4=""),"",Settings!$B$10*SUMPRODUCT(ISNUMBER(SEARCH(Settings!$H$4:$H$7,$B$12))*ISNUMBER(SEARCH(Settings!$H$4:$H$7,Mentors!$I63))))</f>
        <v/>
      </c>
      <c r="I79" s="24">
        <f>IF(OR($B79="",$B$4=""),"",IF(OR($B$13="",$B$13="Either",Mentors!$J63="Either",$B$13=Mentors!$J63),Settings!$B$11,0))</f>
        <v/>
      </c>
      <c r="J79" s="25">
        <f>IF(OR($B79="",$B$4=""),"",SUM(E79:I79))</f>
        <v/>
      </c>
      <c r="K79" s="26">
        <f>IF(J79="",-1,IF(N(D79)&lt;=0,-1,J79+(1000-ROW())/100000))</f>
        <v/>
      </c>
    </row>
    <row r="80">
      <c r="A80" s="24">
        <f>IF(Mentors!$D64="","",Mentors!$A64)</f>
        <v/>
      </c>
      <c r="B80" s="24">
        <f>IF(Mentors!$D64="","",Mentors!$D64)</f>
        <v/>
      </c>
      <c r="C80" s="24">
        <f>IF($B80="","",Mentors!$F64&amp;"")</f>
        <v/>
      </c>
      <c r="D80" s="24">
        <f>IF($B80="","",Mentors!$O64)</f>
        <v/>
      </c>
      <c r="E80" s="24">
        <f>IF(OR($B80="",$B$4=""),"",IF(AND($C80&lt;&gt;"",$C80=$B$7),Settings!$B$7,0))</f>
        <v/>
      </c>
      <c r="F80" s="24">
        <f>IF(OR($B80="",$B$4=""),"",Settings!$B$8*(($B$8&lt;&gt;"")*ISNUMBER(SEARCH($B$8,Mentors!$G64))+($B$9&lt;&gt;"")*ISNUMBER(SEARCH($B$9,Mentors!$G64))+($B$10&lt;&gt;"")*ISNUMBER(SEARCH($B$10,Mentors!$G64))))</f>
        <v/>
      </c>
      <c r="G80" s="24">
        <f>IF(OR($B80="",$B$4=""),"",Settings!$B$9*SUMPRODUCT(ISNUMBER(SEARCH(Settings!$G$4:$G$12,$B$11))*ISNUMBER(SEARCH(Settings!$G$4:$G$12,Mentors!$H64))))</f>
        <v/>
      </c>
      <c r="H80" s="24">
        <f>IF(OR($B80="",$B$4=""),"",Settings!$B$10*SUMPRODUCT(ISNUMBER(SEARCH(Settings!$H$4:$H$7,$B$12))*ISNUMBER(SEARCH(Settings!$H$4:$H$7,Mentors!$I64))))</f>
        <v/>
      </c>
      <c r="I80" s="24">
        <f>IF(OR($B80="",$B$4=""),"",IF(OR($B$13="",$B$13="Either",Mentors!$J64="Either",$B$13=Mentors!$J64),Settings!$B$11,0))</f>
        <v/>
      </c>
      <c r="J80" s="25">
        <f>IF(OR($B80="",$B$4=""),"",SUM(E80:I80))</f>
        <v/>
      </c>
      <c r="K80" s="26">
        <f>IF(J80="",-1,IF(N(D80)&lt;=0,-1,J80+(1000-ROW())/100000))</f>
        <v/>
      </c>
    </row>
    <row r="81">
      <c r="A81" s="24">
        <f>IF(Mentors!$D65="","",Mentors!$A65)</f>
        <v/>
      </c>
      <c r="B81" s="24">
        <f>IF(Mentors!$D65="","",Mentors!$D65)</f>
        <v/>
      </c>
      <c r="C81" s="24">
        <f>IF($B81="","",Mentors!$F65&amp;"")</f>
        <v/>
      </c>
      <c r="D81" s="24">
        <f>IF($B81="","",Mentors!$O65)</f>
        <v/>
      </c>
      <c r="E81" s="24">
        <f>IF(OR($B81="",$B$4=""),"",IF(AND($C81&lt;&gt;"",$C81=$B$7),Settings!$B$7,0))</f>
        <v/>
      </c>
      <c r="F81" s="24">
        <f>IF(OR($B81="",$B$4=""),"",Settings!$B$8*(($B$8&lt;&gt;"")*ISNUMBER(SEARCH($B$8,Mentors!$G65))+($B$9&lt;&gt;"")*ISNUMBER(SEARCH($B$9,Mentors!$G65))+($B$10&lt;&gt;"")*ISNUMBER(SEARCH($B$10,Mentors!$G65))))</f>
        <v/>
      </c>
      <c r="G81" s="24">
        <f>IF(OR($B81="",$B$4=""),"",Settings!$B$9*SUMPRODUCT(ISNUMBER(SEARCH(Settings!$G$4:$G$12,$B$11))*ISNUMBER(SEARCH(Settings!$G$4:$G$12,Mentors!$H65))))</f>
        <v/>
      </c>
      <c r="H81" s="24">
        <f>IF(OR($B81="",$B$4=""),"",Settings!$B$10*SUMPRODUCT(ISNUMBER(SEARCH(Settings!$H$4:$H$7,$B$12))*ISNUMBER(SEARCH(Settings!$H$4:$H$7,Mentors!$I65))))</f>
        <v/>
      </c>
      <c r="I81" s="24">
        <f>IF(OR($B81="",$B$4=""),"",IF(OR($B$13="",$B$13="Either",Mentors!$J65="Either",$B$13=Mentors!$J65),Settings!$B$11,0))</f>
        <v/>
      </c>
      <c r="J81" s="25">
        <f>IF(OR($B81="",$B$4=""),"",SUM(E81:I81))</f>
        <v/>
      </c>
      <c r="K81" s="26">
        <f>IF(J81="",-1,IF(N(D81)&lt;=0,-1,J81+(1000-ROW())/100000))</f>
        <v/>
      </c>
    </row>
    <row r="82">
      <c r="A82" s="24">
        <f>IF(Mentors!$D66="","",Mentors!$A66)</f>
        <v/>
      </c>
      <c r="B82" s="24">
        <f>IF(Mentors!$D66="","",Mentors!$D66)</f>
        <v/>
      </c>
      <c r="C82" s="24">
        <f>IF($B82="","",Mentors!$F66&amp;"")</f>
        <v/>
      </c>
      <c r="D82" s="24">
        <f>IF($B82="","",Mentors!$O66)</f>
        <v/>
      </c>
      <c r="E82" s="24">
        <f>IF(OR($B82="",$B$4=""),"",IF(AND($C82&lt;&gt;"",$C82=$B$7),Settings!$B$7,0))</f>
        <v/>
      </c>
      <c r="F82" s="24">
        <f>IF(OR($B82="",$B$4=""),"",Settings!$B$8*(($B$8&lt;&gt;"")*ISNUMBER(SEARCH($B$8,Mentors!$G66))+($B$9&lt;&gt;"")*ISNUMBER(SEARCH($B$9,Mentors!$G66))+($B$10&lt;&gt;"")*ISNUMBER(SEARCH($B$10,Mentors!$G66))))</f>
        <v/>
      </c>
      <c r="G82" s="24">
        <f>IF(OR($B82="",$B$4=""),"",Settings!$B$9*SUMPRODUCT(ISNUMBER(SEARCH(Settings!$G$4:$G$12,$B$11))*ISNUMBER(SEARCH(Settings!$G$4:$G$12,Mentors!$H66))))</f>
        <v/>
      </c>
      <c r="H82" s="24">
        <f>IF(OR($B82="",$B$4=""),"",Settings!$B$10*SUMPRODUCT(ISNUMBER(SEARCH(Settings!$H$4:$H$7,$B$12))*ISNUMBER(SEARCH(Settings!$H$4:$H$7,Mentors!$I66))))</f>
        <v/>
      </c>
      <c r="I82" s="24">
        <f>IF(OR($B82="",$B$4=""),"",IF(OR($B$13="",$B$13="Either",Mentors!$J66="Either",$B$13=Mentors!$J66),Settings!$B$11,0))</f>
        <v/>
      </c>
      <c r="J82" s="25">
        <f>IF(OR($B82="",$B$4=""),"",SUM(E82:I82))</f>
        <v/>
      </c>
      <c r="K82" s="26">
        <f>IF(J82="",-1,IF(N(D82)&lt;=0,-1,J82+(1000-ROW())/100000))</f>
        <v/>
      </c>
    </row>
    <row r="83">
      <c r="A83" s="24">
        <f>IF(Mentors!$D67="","",Mentors!$A67)</f>
        <v/>
      </c>
      <c r="B83" s="24">
        <f>IF(Mentors!$D67="","",Mentors!$D67)</f>
        <v/>
      </c>
      <c r="C83" s="24">
        <f>IF($B83="","",Mentors!$F67&amp;"")</f>
        <v/>
      </c>
      <c r="D83" s="24">
        <f>IF($B83="","",Mentors!$O67)</f>
        <v/>
      </c>
      <c r="E83" s="24">
        <f>IF(OR($B83="",$B$4=""),"",IF(AND($C83&lt;&gt;"",$C83=$B$7),Settings!$B$7,0))</f>
        <v/>
      </c>
      <c r="F83" s="24">
        <f>IF(OR($B83="",$B$4=""),"",Settings!$B$8*(($B$8&lt;&gt;"")*ISNUMBER(SEARCH($B$8,Mentors!$G67))+($B$9&lt;&gt;"")*ISNUMBER(SEARCH($B$9,Mentors!$G67))+($B$10&lt;&gt;"")*ISNUMBER(SEARCH($B$10,Mentors!$G67))))</f>
        <v/>
      </c>
      <c r="G83" s="24">
        <f>IF(OR($B83="",$B$4=""),"",Settings!$B$9*SUMPRODUCT(ISNUMBER(SEARCH(Settings!$G$4:$G$12,$B$11))*ISNUMBER(SEARCH(Settings!$G$4:$G$12,Mentors!$H67))))</f>
        <v/>
      </c>
      <c r="H83" s="24">
        <f>IF(OR($B83="",$B$4=""),"",Settings!$B$10*SUMPRODUCT(ISNUMBER(SEARCH(Settings!$H$4:$H$7,$B$12))*ISNUMBER(SEARCH(Settings!$H$4:$H$7,Mentors!$I67))))</f>
        <v/>
      </c>
      <c r="I83" s="24">
        <f>IF(OR($B83="",$B$4=""),"",IF(OR($B$13="",$B$13="Either",Mentors!$J67="Either",$B$13=Mentors!$J67),Settings!$B$11,0))</f>
        <v/>
      </c>
      <c r="J83" s="25">
        <f>IF(OR($B83="",$B$4=""),"",SUM(E83:I83))</f>
        <v/>
      </c>
      <c r="K83" s="26">
        <f>IF(J83="",-1,IF(N(D83)&lt;=0,-1,J83+(1000-ROW())/100000))</f>
        <v/>
      </c>
    </row>
    <row r="84">
      <c r="A84" s="24">
        <f>IF(Mentors!$D68="","",Mentors!$A68)</f>
        <v/>
      </c>
      <c r="B84" s="24">
        <f>IF(Mentors!$D68="","",Mentors!$D68)</f>
        <v/>
      </c>
      <c r="C84" s="24">
        <f>IF($B84="","",Mentors!$F68&amp;"")</f>
        <v/>
      </c>
      <c r="D84" s="24">
        <f>IF($B84="","",Mentors!$O68)</f>
        <v/>
      </c>
      <c r="E84" s="24">
        <f>IF(OR($B84="",$B$4=""),"",IF(AND($C84&lt;&gt;"",$C84=$B$7),Settings!$B$7,0))</f>
        <v/>
      </c>
      <c r="F84" s="24">
        <f>IF(OR($B84="",$B$4=""),"",Settings!$B$8*(($B$8&lt;&gt;"")*ISNUMBER(SEARCH($B$8,Mentors!$G68))+($B$9&lt;&gt;"")*ISNUMBER(SEARCH($B$9,Mentors!$G68))+($B$10&lt;&gt;"")*ISNUMBER(SEARCH($B$10,Mentors!$G68))))</f>
        <v/>
      </c>
      <c r="G84" s="24">
        <f>IF(OR($B84="",$B$4=""),"",Settings!$B$9*SUMPRODUCT(ISNUMBER(SEARCH(Settings!$G$4:$G$12,$B$11))*ISNUMBER(SEARCH(Settings!$G$4:$G$12,Mentors!$H68))))</f>
        <v/>
      </c>
      <c r="H84" s="24">
        <f>IF(OR($B84="",$B$4=""),"",Settings!$B$10*SUMPRODUCT(ISNUMBER(SEARCH(Settings!$H$4:$H$7,$B$12))*ISNUMBER(SEARCH(Settings!$H$4:$H$7,Mentors!$I68))))</f>
        <v/>
      </c>
      <c r="I84" s="24">
        <f>IF(OR($B84="",$B$4=""),"",IF(OR($B$13="",$B$13="Either",Mentors!$J68="Either",$B$13=Mentors!$J68),Settings!$B$11,0))</f>
        <v/>
      </c>
      <c r="J84" s="25">
        <f>IF(OR($B84="",$B$4=""),"",SUM(E84:I84))</f>
        <v/>
      </c>
      <c r="K84" s="26">
        <f>IF(J84="",-1,IF(N(D84)&lt;=0,-1,J84+(1000-ROW())/100000))</f>
        <v/>
      </c>
    </row>
    <row r="85">
      <c r="A85" s="24">
        <f>IF(Mentors!$D69="","",Mentors!$A69)</f>
        <v/>
      </c>
      <c r="B85" s="24">
        <f>IF(Mentors!$D69="","",Mentors!$D69)</f>
        <v/>
      </c>
      <c r="C85" s="24">
        <f>IF($B85="","",Mentors!$F69&amp;"")</f>
        <v/>
      </c>
      <c r="D85" s="24">
        <f>IF($B85="","",Mentors!$O69)</f>
        <v/>
      </c>
      <c r="E85" s="24">
        <f>IF(OR($B85="",$B$4=""),"",IF(AND($C85&lt;&gt;"",$C85=$B$7),Settings!$B$7,0))</f>
        <v/>
      </c>
      <c r="F85" s="24">
        <f>IF(OR($B85="",$B$4=""),"",Settings!$B$8*(($B$8&lt;&gt;"")*ISNUMBER(SEARCH($B$8,Mentors!$G69))+($B$9&lt;&gt;"")*ISNUMBER(SEARCH($B$9,Mentors!$G69))+($B$10&lt;&gt;"")*ISNUMBER(SEARCH($B$10,Mentors!$G69))))</f>
        <v/>
      </c>
      <c r="G85" s="24">
        <f>IF(OR($B85="",$B$4=""),"",Settings!$B$9*SUMPRODUCT(ISNUMBER(SEARCH(Settings!$G$4:$G$12,$B$11))*ISNUMBER(SEARCH(Settings!$G$4:$G$12,Mentors!$H69))))</f>
        <v/>
      </c>
      <c r="H85" s="24">
        <f>IF(OR($B85="",$B$4=""),"",Settings!$B$10*SUMPRODUCT(ISNUMBER(SEARCH(Settings!$H$4:$H$7,$B$12))*ISNUMBER(SEARCH(Settings!$H$4:$H$7,Mentors!$I69))))</f>
        <v/>
      </c>
      <c r="I85" s="24">
        <f>IF(OR($B85="",$B$4=""),"",IF(OR($B$13="",$B$13="Either",Mentors!$J69="Either",$B$13=Mentors!$J69),Settings!$B$11,0))</f>
        <v/>
      </c>
      <c r="J85" s="25">
        <f>IF(OR($B85="",$B$4=""),"",SUM(E85:I85))</f>
        <v/>
      </c>
      <c r="K85" s="26">
        <f>IF(J85="",-1,IF(N(D85)&lt;=0,-1,J85+(1000-ROW())/100000))</f>
        <v/>
      </c>
    </row>
    <row r="86">
      <c r="A86" s="24">
        <f>IF(Mentors!$D70="","",Mentors!$A70)</f>
        <v/>
      </c>
      <c r="B86" s="24">
        <f>IF(Mentors!$D70="","",Mentors!$D70)</f>
        <v/>
      </c>
      <c r="C86" s="24">
        <f>IF($B86="","",Mentors!$F70&amp;"")</f>
        <v/>
      </c>
      <c r="D86" s="24">
        <f>IF($B86="","",Mentors!$O70)</f>
        <v/>
      </c>
      <c r="E86" s="24">
        <f>IF(OR($B86="",$B$4=""),"",IF(AND($C86&lt;&gt;"",$C86=$B$7),Settings!$B$7,0))</f>
        <v/>
      </c>
      <c r="F86" s="24">
        <f>IF(OR($B86="",$B$4=""),"",Settings!$B$8*(($B$8&lt;&gt;"")*ISNUMBER(SEARCH($B$8,Mentors!$G70))+($B$9&lt;&gt;"")*ISNUMBER(SEARCH($B$9,Mentors!$G70))+($B$10&lt;&gt;"")*ISNUMBER(SEARCH($B$10,Mentors!$G70))))</f>
        <v/>
      </c>
      <c r="G86" s="24">
        <f>IF(OR($B86="",$B$4=""),"",Settings!$B$9*SUMPRODUCT(ISNUMBER(SEARCH(Settings!$G$4:$G$12,$B$11))*ISNUMBER(SEARCH(Settings!$G$4:$G$12,Mentors!$H70))))</f>
        <v/>
      </c>
      <c r="H86" s="24">
        <f>IF(OR($B86="",$B$4=""),"",Settings!$B$10*SUMPRODUCT(ISNUMBER(SEARCH(Settings!$H$4:$H$7,$B$12))*ISNUMBER(SEARCH(Settings!$H$4:$H$7,Mentors!$I70))))</f>
        <v/>
      </c>
      <c r="I86" s="24">
        <f>IF(OR($B86="",$B$4=""),"",IF(OR($B$13="",$B$13="Either",Mentors!$J70="Either",$B$13=Mentors!$J70),Settings!$B$11,0))</f>
        <v/>
      </c>
      <c r="J86" s="25">
        <f>IF(OR($B86="",$B$4=""),"",SUM(E86:I86))</f>
        <v/>
      </c>
      <c r="K86" s="26">
        <f>IF(J86="",-1,IF(N(D86)&lt;=0,-1,J86+(1000-ROW())/100000))</f>
        <v/>
      </c>
    </row>
    <row r="87">
      <c r="A87" s="24">
        <f>IF(Mentors!$D71="","",Mentors!$A71)</f>
        <v/>
      </c>
      <c r="B87" s="24">
        <f>IF(Mentors!$D71="","",Mentors!$D71)</f>
        <v/>
      </c>
      <c r="C87" s="24">
        <f>IF($B87="","",Mentors!$F71&amp;"")</f>
        <v/>
      </c>
      <c r="D87" s="24">
        <f>IF($B87="","",Mentors!$O71)</f>
        <v/>
      </c>
      <c r="E87" s="24">
        <f>IF(OR($B87="",$B$4=""),"",IF(AND($C87&lt;&gt;"",$C87=$B$7),Settings!$B$7,0))</f>
        <v/>
      </c>
      <c r="F87" s="24">
        <f>IF(OR($B87="",$B$4=""),"",Settings!$B$8*(($B$8&lt;&gt;"")*ISNUMBER(SEARCH($B$8,Mentors!$G71))+($B$9&lt;&gt;"")*ISNUMBER(SEARCH($B$9,Mentors!$G71))+($B$10&lt;&gt;"")*ISNUMBER(SEARCH($B$10,Mentors!$G71))))</f>
        <v/>
      </c>
      <c r="G87" s="24">
        <f>IF(OR($B87="",$B$4=""),"",Settings!$B$9*SUMPRODUCT(ISNUMBER(SEARCH(Settings!$G$4:$G$12,$B$11))*ISNUMBER(SEARCH(Settings!$G$4:$G$12,Mentors!$H71))))</f>
        <v/>
      </c>
      <c r="H87" s="24">
        <f>IF(OR($B87="",$B$4=""),"",Settings!$B$10*SUMPRODUCT(ISNUMBER(SEARCH(Settings!$H$4:$H$7,$B$12))*ISNUMBER(SEARCH(Settings!$H$4:$H$7,Mentors!$I71))))</f>
        <v/>
      </c>
      <c r="I87" s="24">
        <f>IF(OR($B87="",$B$4=""),"",IF(OR($B$13="",$B$13="Either",Mentors!$J71="Either",$B$13=Mentors!$J71),Settings!$B$11,0))</f>
        <v/>
      </c>
      <c r="J87" s="25">
        <f>IF(OR($B87="",$B$4=""),"",SUM(E87:I87))</f>
        <v/>
      </c>
      <c r="K87" s="26">
        <f>IF(J87="",-1,IF(N(D87)&lt;=0,-1,J87+(1000-ROW())/100000))</f>
        <v/>
      </c>
    </row>
    <row r="88">
      <c r="A88" s="24">
        <f>IF(Mentors!$D72="","",Mentors!$A72)</f>
        <v/>
      </c>
      <c r="B88" s="24">
        <f>IF(Mentors!$D72="","",Mentors!$D72)</f>
        <v/>
      </c>
      <c r="C88" s="24">
        <f>IF($B88="","",Mentors!$F72&amp;"")</f>
        <v/>
      </c>
      <c r="D88" s="24">
        <f>IF($B88="","",Mentors!$O72)</f>
        <v/>
      </c>
      <c r="E88" s="24">
        <f>IF(OR($B88="",$B$4=""),"",IF(AND($C88&lt;&gt;"",$C88=$B$7),Settings!$B$7,0))</f>
        <v/>
      </c>
      <c r="F88" s="24">
        <f>IF(OR($B88="",$B$4=""),"",Settings!$B$8*(($B$8&lt;&gt;"")*ISNUMBER(SEARCH($B$8,Mentors!$G72))+($B$9&lt;&gt;"")*ISNUMBER(SEARCH($B$9,Mentors!$G72))+($B$10&lt;&gt;"")*ISNUMBER(SEARCH($B$10,Mentors!$G72))))</f>
        <v/>
      </c>
      <c r="G88" s="24">
        <f>IF(OR($B88="",$B$4=""),"",Settings!$B$9*SUMPRODUCT(ISNUMBER(SEARCH(Settings!$G$4:$G$12,$B$11))*ISNUMBER(SEARCH(Settings!$G$4:$G$12,Mentors!$H72))))</f>
        <v/>
      </c>
      <c r="H88" s="24">
        <f>IF(OR($B88="",$B$4=""),"",Settings!$B$10*SUMPRODUCT(ISNUMBER(SEARCH(Settings!$H$4:$H$7,$B$12))*ISNUMBER(SEARCH(Settings!$H$4:$H$7,Mentors!$I72))))</f>
        <v/>
      </c>
      <c r="I88" s="24">
        <f>IF(OR($B88="",$B$4=""),"",IF(OR($B$13="",$B$13="Either",Mentors!$J72="Either",$B$13=Mentors!$J72),Settings!$B$11,0))</f>
        <v/>
      </c>
      <c r="J88" s="25">
        <f>IF(OR($B88="",$B$4=""),"",SUM(E88:I88))</f>
        <v/>
      </c>
      <c r="K88" s="26">
        <f>IF(J88="",-1,IF(N(D88)&lt;=0,-1,J88+(1000-ROW())/100000))</f>
        <v/>
      </c>
    </row>
    <row r="89">
      <c r="A89" s="24">
        <f>IF(Mentors!$D73="","",Mentors!$A73)</f>
        <v/>
      </c>
      <c r="B89" s="24">
        <f>IF(Mentors!$D73="","",Mentors!$D73)</f>
        <v/>
      </c>
      <c r="C89" s="24">
        <f>IF($B89="","",Mentors!$F73&amp;"")</f>
        <v/>
      </c>
      <c r="D89" s="24">
        <f>IF($B89="","",Mentors!$O73)</f>
        <v/>
      </c>
      <c r="E89" s="24">
        <f>IF(OR($B89="",$B$4=""),"",IF(AND($C89&lt;&gt;"",$C89=$B$7),Settings!$B$7,0))</f>
        <v/>
      </c>
      <c r="F89" s="24">
        <f>IF(OR($B89="",$B$4=""),"",Settings!$B$8*(($B$8&lt;&gt;"")*ISNUMBER(SEARCH($B$8,Mentors!$G73))+($B$9&lt;&gt;"")*ISNUMBER(SEARCH($B$9,Mentors!$G73))+($B$10&lt;&gt;"")*ISNUMBER(SEARCH($B$10,Mentors!$G73))))</f>
        <v/>
      </c>
      <c r="G89" s="24">
        <f>IF(OR($B89="",$B$4=""),"",Settings!$B$9*SUMPRODUCT(ISNUMBER(SEARCH(Settings!$G$4:$G$12,$B$11))*ISNUMBER(SEARCH(Settings!$G$4:$G$12,Mentors!$H73))))</f>
        <v/>
      </c>
      <c r="H89" s="24">
        <f>IF(OR($B89="",$B$4=""),"",Settings!$B$10*SUMPRODUCT(ISNUMBER(SEARCH(Settings!$H$4:$H$7,$B$12))*ISNUMBER(SEARCH(Settings!$H$4:$H$7,Mentors!$I73))))</f>
        <v/>
      </c>
      <c r="I89" s="24">
        <f>IF(OR($B89="",$B$4=""),"",IF(OR($B$13="",$B$13="Either",Mentors!$J73="Either",$B$13=Mentors!$J73),Settings!$B$11,0))</f>
        <v/>
      </c>
      <c r="J89" s="25">
        <f>IF(OR($B89="",$B$4=""),"",SUM(E89:I89))</f>
        <v/>
      </c>
      <c r="K89" s="26">
        <f>IF(J89="",-1,IF(N(D89)&lt;=0,-1,J89+(1000-ROW())/100000))</f>
        <v/>
      </c>
    </row>
    <row r="90">
      <c r="A90" s="24">
        <f>IF(Mentors!$D74="","",Mentors!$A74)</f>
        <v/>
      </c>
      <c r="B90" s="24">
        <f>IF(Mentors!$D74="","",Mentors!$D74)</f>
        <v/>
      </c>
      <c r="C90" s="24">
        <f>IF($B90="","",Mentors!$F74&amp;"")</f>
        <v/>
      </c>
      <c r="D90" s="24">
        <f>IF($B90="","",Mentors!$O74)</f>
        <v/>
      </c>
      <c r="E90" s="24">
        <f>IF(OR($B90="",$B$4=""),"",IF(AND($C90&lt;&gt;"",$C90=$B$7),Settings!$B$7,0))</f>
        <v/>
      </c>
      <c r="F90" s="24">
        <f>IF(OR($B90="",$B$4=""),"",Settings!$B$8*(($B$8&lt;&gt;"")*ISNUMBER(SEARCH($B$8,Mentors!$G74))+($B$9&lt;&gt;"")*ISNUMBER(SEARCH($B$9,Mentors!$G74))+($B$10&lt;&gt;"")*ISNUMBER(SEARCH($B$10,Mentors!$G74))))</f>
        <v/>
      </c>
      <c r="G90" s="24">
        <f>IF(OR($B90="",$B$4=""),"",Settings!$B$9*SUMPRODUCT(ISNUMBER(SEARCH(Settings!$G$4:$G$12,$B$11))*ISNUMBER(SEARCH(Settings!$G$4:$G$12,Mentors!$H74))))</f>
        <v/>
      </c>
      <c r="H90" s="24">
        <f>IF(OR($B90="",$B$4=""),"",Settings!$B$10*SUMPRODUCT(ISNUMBER(SEARCH(Settings!$H$4:$H$7,$B$12))*ISNUMBER(SEARCH(Settings!$H$4:$H$7,Mentors!$I74))))</f>
        <v/>
      </c>
      <c r="I90" s="24">
        <f>IF(OR($B90="",$B$4=""),"",IF(OR($B$13="",$B$13="Either",Mentors!$J74="Either",$B$13=Mentors!$J74),Settings!$B$11,0))</f>
        <v/>
      </c>
      <c r="J90" s="25">
        <f>IF(OR($B90="",$B$4=""),"",SUM(E90:I90))</f>
        <v/>
      </c>
      <c r="K90" s="26">
        <f>IF(J90="",-1,IF(N(D90)&lt;=0,-1,J90+(1000-ROW())/100000))</f>
        <v/>
      </c>
    </row>
    <row r="91">
      <c r="A91" s="24">
        <f>IF(Mentors!$D75="","",Mentors!$A75)</f>
        <v/>
      </c>
      <c r="B91" s="24">
        <f>IF(Mentors!$D75="","",Mentors!$D75)</f>
        <v/>
      </c>
      <c r="C91" s="24">
        <f>IF($B91="","",Mentors!$F75&amp;"")</f>
        <v/>
      </c>
      <c r="D91" s="24">
        <f>IF($B91="","",Mentors!$O75)</f>
        <v/>
      </c>
      <c r="E91" s="24">
        <f>IF(OR($B91="",$B$4=""),"",IF(AND($C91&lt;&gt;"",$C91=$B$7),Settings!$B$7,0))</f>
        <v/>
      </c>
      <c r="F91" s="24">
        <f>IF(OR($B91="",$B$4=""),"",Settings!$B$8*(($B$8&lt;&gt;"")*ISNUMBER(SEARCH($B$8,Mentors!$G75))+($B$9&lt;&gt;"")*ISNUMBER(SEARCH($B$9,Mentors!$G75))+($B$10&lt;&gt;"")*ISNUMBER(SEARCH($B$10,Mentors!$G75))))</f>
        <v/>
      </c>
      <c r="G91" s="24">
        <f>IF(OR($B91="",$B$4=""),"",Settings!$B$9*SUMPRODUCT(ISNUMBER(SEARCH(Settings!$G$4:$G$12,$B$11))*ISNUMBER(SEARCH(Settings!$G$4:$G$12,Mentors!$H75))))</f>
        <v/>
      </c>
      <c r="H91" s="24">
        <f>IF(OR($B91="",$B$4=""),"",Settings!$B$10*SUMPRODUCT(ISNUMBER(SEARCH(Settings!$H$4:$H$7,$B$12))*ISNUMBER(SEARCH(Settings!$H$4:$H$7,Mentors!$I75))))</f>
        <v/>
      </c>
      <c r="I91" s="24">
        <f>IF(OR($B91="",$B$4=""),"",IF(OR($B$13="",$B$13="Either",Mentors!$J75="Either",$B$13=Mentors!$J75),Settings!$B$11,0))</f>
        <v/>
      </c>
      <c r="J91" s="25">
        <f>IF(OR($B91="",$B$4=""),"",SUM(E91:I91))</f>
        <v/>
      </c>
      <c r="K91" s="26">
        <f>IF(J91="",-1,IF(N(D91)&lt;=0,-1,J91+(1000-ROW())/100000))</f>
        <v/>
      </c>
    </row>
    <row r="92">
      <c r="A92" s="24">
        <f>IF(Mentors!$D76="","",Mentors!$A76)</f>
        <v/>
      </c>
      <c r="B92" s="24">
        <f>IF(Mentors!$D76="","",Mentors!$D76)</f>
        <v/>
      </c>
      <c r="C92" s="24">
        <f>IF($B92="","",Mentors!$F76&amp;"")</f>
        <v/>
      </c>
      <c r="D92" s="24">
        <f>IF($B92="","",Mentors!$O76)</f>
        <v/>
      </c>
      <c r="E92" s="24">
        <f>IF(OR($B92="",$B$4=""),"",IF(AND($C92&lt;&gt;"",$C92=$B$7),Settings!$B$7,0))</f>
        <v/>
      </c>
      <c r="F92" s="24">
        <f>IF(OR($B92="",$B$4=""),"",Settings!$B$8*(($B$8&lt;&gt;"")*ISNUMBER(SEARCH($B$8,Mentors!$G76))+($B$9&lt;&gt;"")*ISNUMBER(SEARCH($B$9,Mentors!$G76))+($B$10&lt;&gt;"")*ISNUMBER(SEARCH($B$10,Mentors!$G76))))</f>
        <v/>
      </c>
      <c r="G92" s="24">
        <f>IF(OR($B92="",$B$4=""),"",Settings!$B$9*SUMPRODUCT(ISNUMBER(SEARCH(Settings!$G$4:$G$12,$B$11))*ISNUMBER(SEARCH(Settings!$G$4:$G$12,Mentors!$H76))))</f>
        <v/>
      </c>
      <c r="H92" s="24">
        <f>IF(OR($B92="",$B$4=""),"",Settings!$B$10*SUMPRODUCT(ISNUMBER(SEARCH(Settings!$H$4:$H$7,$B$12))*ISNUMBER(SEARCH(Settings!$H$4:$H$7,Mentors!$I76))))</f>
        <v/>
      </c>
      <c r="I92" s="24">
        <f>IF(OR($B92="",$B$4=""),"",IF(OR($B$13="",$B$13="Either",Mentors!$J76="Either",$B$13=Mentors!$J76),Settings!$B$11,0))</f>
        <v/>
      </c>
      <c r="J92" s="25">
        <f>IF(OR($B92="",$B$4=""),"",SUM(E92:I92))</f>
        <v/>
      </c>
      <c r="K92" s="26">
        <f>IF(J92="",-1,IF(N(D92)&lt;=0,-1,J92+(1000-ROW())/100000))</f>
        <v/>
      </c>
    </row>
    <row r="93">
      <c r="A93" s="24">
        <f>IF(Mentors!$D77="","",Mentors!$A77)</f>
        <v/>
      </c>
      <c r="B93" s="24">
        <f>IF(Mentors!$D77="","",Mentors!$D77)</f>
        <v/>
      </c>
      <c r="C93" s="24">
        <f>IF($B93="","",Mentors!$F77&amp;"")</f>
        <v/>
      </c>
      <c r="D93" s="24">
        <f>IF($B93="","",Mentors!$O77)</f>
        <v/>
      </c>
      <c r="E93" s="24">
        <f>IF(OR($B93="",$B$4=""),"",IF(AND($C93&lt;&gt;"",$C93=$B$7),Settings!$B$7,0))</f>
        <v/>
      </c>
      <c r="F93" s="24">
        <f>IF(OR($B93="",$B$4=""),"",Settings!$B$8*(($B$8&lt;&gt;"")*ISNUMBER(SEARCH($B$8,Mentors!$G77))+($B$9&lt;&gt;"")*ISNUMBER(SEARCH($B$9,Mentors!$G77))+($B$10&lt;&gt;"")*ISNUMBER(SEARCH($B$10,Mentors!$G77))))</f>
        <v/>
      </c>
      <c r="G93" s="24">
        <f>IF(OR($B93="",$B$4=""),"",Settings!$B$9*SUMPRODUCT(ISNUMBER(SEARCH(Settings!$G$4:$G$12,$B$11))*ISNUMBER(SEARCH(Settings!$G$4:$G$12,Mentors!$H77))))</f>
        <v/>
      </c>
      <c r="H93" s="24">
        <f>IF(OR($B93="",$B$4=""),"",Settings!$B$10*SUMPRODUCT(ISNUMBER(SEARCH(Settings!$H$4:$H$7,$B$12))*ISNUMBER(SEARCH(Settings!$H$4:$H$7,Mentors!$I77))))</f>
        <v/>
      </c>
      <c r="I93" s="24">
        <f>IF(OR($B93="",$B$4=""),"",IF(OR($B$13="",$B$13="Either",Mentors!$J77="Either",$B$13=Mentors!$J77),Settings!$B$11,0))</f>
        <v/>
      </c>
      <c r="J93" s="25">
        <f>IF(OR($B93="",$B$4=""),"",SUM(E93:I93))</f>
        <v/>
      </c>
      <c r="K93" s="26">
        <f>IF(J93="",-1,IF(N(D93)&lt;=0,-1,J93+(1000-ROW())/100000))</f>
        <v/>
      </c>
    </row>
    <row r="94">
      <c r="A94" s="24">
        <f>IF(Mentors!$D78="","",Mentors!$A78)</f>
        <v/>
      </c>
      <c r="B94" s="24">
        <f>IF(Mentors!$D78="","",Mentors!$D78)</f>
        <v/>
      </c>
      <c r="C94" s="24">
        <f>IF($B94="","",Mentors!$F78&amp;"")</f>
        <v/>
      </c>
      <c r="D94" s="24">
        <f>IF($B94="","",Mentors!$O78)</f>
        <v/>
      </c>
      <c r="E94" s="24">
        <f>IF(OR($B94="",$B$4=""),"",IF(AND($C94&lt;&gt;"",$C94=$B$7),Settings!$B$7,0))</f>
        <v/>
      </c>
      <c r="F94" s="24">
        <f>IF(OR($B94="",$B$4=""),"",Settings!$B$8*(($B$8&lt;&gt;"")*ISNUMBER(SEARCH($B$8,Mentors!$G78))+($B$9&lt;&gt;"")*ISNUMBER(SEARCH($B$9,Mentors!$G78))+($B$10&lt;&gt;"")*ISNUMBER(SEARCH($B$10,Mentors!$G78))))</f>
        <v/>
      </c>
      <c r="G94" s="24">
        <f>IF(OR($B94="",$B$4=""),"",Settings!$B$9*SUMPRODUCT(ISNUMBER(SEARCH(Settings!$G$4:$G$12,$B$11))*ISNUMBER(SEARCH(Settings!$G$4:$G$12,Mentors!$H78))))</f>
        <v/>
      </c>
      <c r="H94" s="24">
        <f>IF(OR($B94="",$B$4=""),"",Settings!$B$10*SUMPRODUCT(ISNUMBER(SEARCH(Settings!$H$4:$H$7,$B$12))*ISNUMBER(SEARCH(Settings!$H$4:$H$7,Mentors!$I78))))</f>
        <v/>
      </c>
      <c r="I94" s="24">
        <f>IF(OR($B94="",$B$4=""),"",IF(OR($B$13="",$B$13="Either",Mentors!$J78="Either",$B$13=Mentors!$J78),Settings!$B$11,0))</f>
        <v/>
      </c>
      <c r="J94" s="25">
        <f>IF(OR($B94="",$B$4=""),"",SUM(E94:I94))</f>
        <v/>
      </c>
      <c r="K94" s="26">
        <f>IF(J94="",-1,IF(N(D94)&lt;=0,-1,J94+(1000-ROW())/100000))</f>
        <v/>
      </c>
    </row>
    <row r="95">
      <c r="A95" s="24">
        <f>IF(Mentors!$D79="","",Mentors!$A79)</f>
        <v/>
      </c>
      <c r="B95" s="24">
        <f>IF(Mentors!$D79="","",Mentors!$D79)</f>
        <v/>
      </c>
      <c r="C95" s="24">
        <f>IF($B95="","",Mentors!$F79&amp;"")</f>
        <v/>
      </c>
      <c r="D95" s="24">
        <f>IF($B95="","",Mentors!$O79)</f>
        <v/>
      </c>
      <c r="E95" s="24">
        <f>IF(OR($B95="",$B$4=""),"",IF(AND($C95&lt;&gt;"",$C95=$B$7),Settings!$B$7,0))</f>
        <v/>
      </c>
      <c r="F95" s="24">
        <f>IF(OR($B95="",$B$4=""),"",Settings!$B$8*(($B$8&lt;&gt;"")*ISNUMBER(SEARCH($B$8,Mentors!$G79))+($B$9&lt;&gt;"")*ISNUMBER(SEARCH($B$9,Mentors!$G79))+($B$10&lt;&gt;"")*ISNUMBER(SEARCH($B$10,Mentors!$G79))))</f>
        <v/>
      </c>
      <c r="G95" s="24">
        <f>IF(OR($B95="",$B$4=""),"",Settings!$B$9*SUMPRODUCT(ISNUMBER(SEARCH(Settings!$G$4:$G$12,$B$11))*ISNUMBER(SEARCH(Settings!$G$4:$G$12,Mentors!$H79))))</f>
        <v/>
      </c>
      <c r="H95" s="24">
        <f>IF(OR($B95="",$B$4=""),"",Settings!$B$10*SUMPRODUCT(ISNUMBER(SEARCH(Settings!$H$4:$H$7,$B$12))*ISNUMBER(SEARCH(Settings!$H$4:$H$7,Mentors!$I79))))</f>
        <v/>
      </c>
      <c r="I95" s="24">
        <f>IF(OR($B95="",$B$4=""),"",IF(OR($B$13="",$B$13="Either",Mentors!$J79="Either",$B$13=Mentors!$J79),Settings!$B$11,0))</f>
        <v/>
      </c>
      <c r="J95" s="25">
        <f>IF(OR($B95="",$B$4=""),"",SUM(E95:I95))</f>
        <v/>
      </c>
      <c r="K95" s="26">
        <f>IF(J95="",-1,IF(N(D95)&lt;=0,-1,J95+(1000-ROW())/100000))</f>
        <v/>
      </c>
    </row>
    <row r="96">
      <c r="A96" s="24">
        <f>IF(Mentors!$D80="","",Mentors!$A80)</f>
        <v/>
      </c>
      <c r="B96" s="24">
        <f>IF(Mentors!$D80="","",Mentors!$D80)</f>
        <v/>
      </c>
      <c r="C96" s="24">
        <f>IF($B96="","",Mentors!$F80&amp;"")</f>
        <v/>
      </c>
      <c r="D96" s="24">
        <f>IF($B96="","",Mentors!$O80)</f>
        <v/>
      </c>
      <c r="E96" s="24">
        <f>IF(OR($B96="",$B$4=""),"",IF(AND($C96&lt;&gt;"",$C96=$B$7),Settings!$B$7,0))</f>
        <v/>
      </c>
      <c r="F96" s="24">
        <f>IF(OR($B96="",$B$4=""),"",Settings!$B$8*(($B$8&lt;&gt;"")*ISNUMBER(SEARCH($B$8,Mentors!$G80))+($B$9&lt;&gt;"")*ISNUMBER(SEARCH($B$9,Mentors!$G80))+($B$10&lt;&gt;"")*ISNUMBER(SEARCH($B$10,Mentors!$G80))))</f>
        <v/>
      </c>
      <c r="G96" s="24">
        <f>IF(OR($B96="",$B$4=""),"",Settings!$B$9*SUMPRODUCT(ISNUMBER(SEARCH(Settings!$G$4:$G$12,$B$11))*ISNUMBER(SEARCH(Settings!$G$4:$G$12,Mentors!$H80))))</f>
        <v/>
      </c>
      <c r="H96" s="24">
        <f>IF(OR($B96="",$B$4=""),"",Settings!$B$10*SUMPRODUCT(ISNUMBER(SEARCH(Settings!$H$4:$H$7,$B$12))*ISNUMBER(SEARCH(Settings!$H$4:$H$7,Mentors!$I80))))</f>
        <v/>
      </c>
      <c r="I96" s="24">
        <f>IF(OR($B96="",$B$4=""),"",IF(OR($B$13="",$B$13="Either",Mentors!$J80="Either",$B$13=Mentors!$J80),Settings!$B$11,0))</f>
        <v/>
      </c>
      <c r="J96" s="25">
        <f>IF(OR($B96="",$B$4=""),"",SUM(E96:I96))</f>
        <v/>
      </c>
      <c r="K96" s="26">
        <f>IF(J96="",-1,IF(N(D96)&lt;=0,-1,J96+(1000-ROW())/100000))</f>
        <v/>
      </c>
    </row>
    <row r="97">
      <c r="A97" s="24">
        <f>IF(Mentors!$D81="","",Mentors!$A81)</f>
        <v/>
      </c>
      <c r="B97" s="24">
        <f>IF(Mentors!$D81="","",Mentors!$D81)</f>
        <v/>
      </c>
      <c r="C97" s="24">
        <f>IF($B97="","",Mentors!$F81&amp;"")</f>
        <v/>
      </c>
      <c r="D97" s="24">
        <f>IF($B97="","",Mentors!$O81)</f>
        <v/>
      </c>
      <c r="E97" s="24">
        <f>IF(OR($B97="",$B$4=""),"",IF(AND($C97&lt;&gt;"",$C97=$B$7),Settings!$B$7,0))</f>
        <v/>
      </c>
      <c r="F97" s="24">
        <f>IF(OR($B97="",$B$4=""),"",Settings!$B$8*(($B$8&lt;&gt;"")*ISNUMBER(SEARCH($B$8,Mentors!$G81))+($B$9&lt;&gt;"")*ISNUMBER(SEARCH($B$9,Mentors!$G81))+($B$10&lt;&gt;"")*ISNUMBER(SEARCH($B$10,Mentors!$G81))))</f>
        <v/>
      </c>
      <c r="G97" s="24">
        <f>IF(OR($B97="",$B$4=""),"",Settings!$B$9*SUMPRODUCT(ISNUMBER(SEARCH(Settings!$G$4:$G$12,$B$11))*ISNUMBER(SEARCH(Settings!$G$4:$G$12,Mentors!$H81))))</f>
        <v/>
      </c>
      <c r="H97" s="24">
        <f>IF(OR($B97="",$B$4=""),"",Settings!$B$10*SUMPRODUCT(ISNUMBER(SEARCH(Settings!$H$4:$H$7,$B$12))*ISNUMBER(SEARCH(Settings!$H$4:$H$7,Mentors!$I81))))</f>
        <v/>
      </c>
      <c r="I97" s="24">
        <f>IF(OR($B97="",$B$4=""),"",IF(OR($B$13="",$B$13="Either",Mentors!$J81="Either",$B$13=Mentors!$J81),Settings!$B$11,0))</f>
        <v/>
      </c>
      <c r="J97" s="25">
        <f>IF(OR($B97="",$B$4=""),"",SUM(E97:I97))</f>
        <v/>
      </c>
      <c r="K97" s="26">
        <f>IF(J97="",-1,IF(N(D97)&lt;=0,-1,J97+(1000-ROW())/100000))</f>
        <v/>
      </c>
    </row>
    <row r="98">
      <c r="A98" s="24">
        <f>IF(Mentors!$D82="","",Mentors!$A82)</f>
        <v/>
      </c>
      <c r="B98" s="24">
        <f>IF(Mentors!$D82="","",Mentors!$D82)</f>
        <v/>
      </c>
      <c r="C98" s="24">
        <f>IF($B98="","",Mentors!$F82&amp;"")</f>
        <v/>
      </c>
      <c r="D98" s="24">
        <f>IF($B98="","",Mentors!$O82)</f>
        <v/>
      </c>
      <c r="E98" s="24">
        <f>IF(OR($B98="",$B$4=""),"",IF(AND($C98&lt;&gt;"",$C98=$B$7),Settings!$B$7,0))</f>
        <v/>
      </c>
      <c r="F98" s="24">
        <f>IF(OR($B98="",$B$4=""),"",Settings!$B$8*(($B$8&lt;&gt;"")*ISNUMBER(SEARCH($B$8,Mentors!$G82))+($B$9&lt;&gt;"")*ISNUMBER(SEARCH($B$9,Mentors!$G82))+($B$10&lt;&gt;"")*ISNUMBER(SEARCH($B$10,Mentors!$G82))))</f>
        <v/>
      </c>
      <c r="G98" s="24">
        <f>IF(OR($B98="",$B$4=""),"",Settings!$B$9*SUMPRODUCT(ISNUMBER(SEARCH(Settings!$G$4:$G$12,$B$11))*ISNUMBER(SEARCH(Settings!$G$4:$G$12,Mentors!$H82))))</f>
        <v/>
      </c>
      <c r="H98" s="24">
        <f>IF(OR($B98="",$B$4=""),"",Settings!$B$10*SUMPRODUCT(ISNUMBER(SEARCH(Settings!$H$4:$H$7,$B$12))*ISNUMBER(SEARCH(Settings!$H$4:$H$7,Mentors!$I82))))</f>
        <v/>
      </c>
      <c r="I98" s="24">
        <f>IF(OR($B98="",$B$4=""),"",IF(OR($B$13="",$B$13="Either",Mentors!$J82="Either",$B$13=Mentors!$J82),Settings!$B$11,0))</f>
        <v/>
      </c>
      <c r="J98" s="25">
        <f>IF(OR($B98="",$B$4=""),"",SUM(E98:I98))</f>
        <v/>
      </c>
      <c r="K98" s="26">
        <f>IF(J98="",-1,IF(N(D98)&lt;=0,-1,J98+(1000-ROW())/100000))</f>
        <v/>
      </c>
    </row>
    <row r="99">
      <c r="A99" s="24">
        <f>IF(Mentors!$D83="","",Mentors!$A83)</f>
        <v/>
      </c>
      <c r="B99" s="24">
        <f>IF(Mentors!$D83="","",Mentors!$D83)</f>
        <v/>
      </c>
      <c r="C99" s="24">
        <f>IF($B99="","",Mentors!$F83&amp;"")</f>
        <v/>
      </c>
      <c r="D99" s="24">
        <f>IF($B99="","",Mentors!$O83)</f>
        <v/>
      </c>
      <c r="E99" s="24">
        <f>IF(OR($B99="",$B$4=""),"",IF(AND($C99&lt;&gt;"",$C99=$B$7),Settings!$B$7,0))</f>
        <v/>
      </c>
      <c r="F99" s="24">
        <f>IF(OR($B99="",$B$4=""),"",Settings!$B$8*(($B$8&lt;&gt;"")*ISNUMBER(SEARCH($B$8,Mentors!$G83))+($B$9&lt;&gt;"")*ISNUMBER(SEARCH($B$9,Mentors!$G83))+($B$10&lt;&gt;"")*ISNUMBER(SEARCH($B$10,Mentors!$G83))))</f>
        <v/>
      </c>
      <c r="G99" s="24">
        <f>IF(OR($B99="",$B$4=""),"",Settings!$B$9*SUMPRODUCT(ISNUMBER(SEARCH(Settings!$G$4:$G$12,$B$11))*ISNUMBER(SEARCH(Settings!$G$4:$G$12,Mentors!$H83))))</f>
        <v/>
      </c>
      <c r="H99" s="24">
        <f>IF(OR($B99="",$B$4=""),"",Settings!$B$10*SUMPRODUCT(ISNUMBER(SEARCH(Settings!$H$4:$H$7,$B$12))*ISNUMBER(SEARCH(Settings!$H$4:$H$7,Mentors!$I83))))</f>
        <v/>
      </c>
      <c r="I99" s="24">
        <f>IF(OR($B99="",$B$4=""),"",IF(OR($B$13="",$B$13="Either",Mentors!$J83="Either",$B$13=Mentors!$J83),Settings!$B$11,0))</f>
        <v/>
      </c>
      <c r="J99" s="25">
        <f>IF(OR($B99="",$B$4=""),"",SUM(E99:I99))</f>
        <v/>
      </c>
      <c r="K99" s="26">
        <f>IF(J99="",-1,IF(N(D99)&lt;=0,-1,J99+(1000-ROW())/100000))</f>
        <v/>
      </c>
    </row>
    <row r="100">
      <c r="A100" s="24">
        <f>IF(Mentors!$D84="","",Mentors!$A84)</f>
        <v/>
      </c>
      <c r="B100" s="24">
        <f>IF(Mentors!$D84="","",Mentors!$D84)</f>
        <v/>
      </c>
      <c r="C100" s="24">
        <f>IF($B100="","",Mentors!$F84&amp;"")</f>
        <v/>
      </c>
      <c r="D100" s="24">
        <f>IF($B100="","",Mentors!$O84)</f>
        <v/>
      </c>
      <c r="E100" s="24">
        <f>IF(OR($B100="",$B$4=""),"",IF(AND($C100&lt;&gt;"",$C100=$B$7),Settings!$B$7,0))</f>
        <v/>
      </c>
      <c r="F100" s="24">
        <f>IF(OR($B100="",$B$4=""),"",Settings!$B$8*(($B$8&lt;&gt;"")*ISNUMBER(SEARCH($B$8,Mentors!$G84))+($B$9&lt;&gt;"")*ISNUMBER(SEARCH($B$9,Mentors!$G84))+($B$10&lt;&gt;"")*ISNUMBER(SEARCH($B$10,Mentors!$G84))))</f>
        <v/>
      </c>
      <c r="G100" s="24">
        <f>IF(OR($B100="",$B$4=""),"",Settings!$B$9*SUMPRODUCT(ISNUMBER(SEARCH(Settings!$G$4:$G$12,$B$11))*ISNUMBER(SEARCH(Settings!$G$4:$G$12,Mentors!$H84))))</f>
        <v/>
      </c>
      <c r="H100" s="24">
        <f>IF(OR($B100="",$B$4=""),"",Settings!$B$10*SUMPRODUCT(ISNUMBER(SEARCH(Settings!$H$4:$H$7,$B$12))*ISNUMBER(SEARCH(Settings!$H$4:$H$7,Mentors!$I84))))</f>
        <v/>
      </c>
      <c r="I100" s="24">
        <f>IF(OR($B100="",$B$4=""),"",IF(OR($B$13="",$B$13="Either",Mentors!$J84="Either",$B$13=Mentors!$J84),Settings!$B$11,0))</f>
        <v/>
      </c>
      <c r="J100" s="25">
        <f>IF(OR($B100="",$B$4=""),"",SUM(E100:I100))</f>
        <v/>
      </c>
      <c r="K100" s="26">
        <f>IF(J100="",-1,IF(N(D100)&lt;=0,-1,J100+(1000-ROW())/100000))</f>
        <v/>
      </c>
    </row>
    <row r="101">
      <c r="A101" s="24">
        <f>IF(Mentors!$D85="","",Mentors!$A85)</f>
        <v/>
      </c>
      <c r="B101" s="24">
        <f>IF(Mentors!$D85="","",Mentors!$D85)</f>
        <v/>
      </c>
      <c r="C101" s="24">
        <f>IF($B101="","",Mentors!$F85&amp;"")</f>
        <v/>
      </c>
      <c r="D101" s="24">
        <f>IF($B101="","",Mentors!$O85)</f>
        <v/>
      </c>
      <c r="E101" s="24">
        <f>IF(OR($B101="",$B$4=""),"",IF(AND($C101&lt;&gt;"",$C101=$B$7),Settings!$B$7,0))</f>
        <v/>
      </c>
      <c r="F101" s="24">
        <f>IF(OR($B101="",$B$4=""),"",Settings!$B$8*(($B$8&lt;&gt;"")*ISNUMBER(SEARCH($B$8,Mentors!$G85))+($B$9&lt;&gt;"")*ISNUMBER(SEARCH($B$9,Mentors!$G85))+($B$10&lt;&gt;"")*ISNUMBER(SEARCH($B$10,Mentors!$G85))))</f>
        <v/>
      </c>
      <c r="G101" s="24">
        <f>IF(OR($B101="",$B$4=""),"",Settings!$B$9*SUMPRODUCT(ISNUMBER(SEARCH(Settings!$G$4:$G$12,$B$11))*ISNUMBER(SEARCH(Settings!$G$4:$G$12,Mentors!$H85))))</f>
        <v/>
      </c>
      <c r="H101" s="24">
        <f>IF(OR($B101="",$B$4=""),"",Settings!$B$10*SUMPRODUCT(ISNUMBER(SEARCH(Settings!$H$4:$H$7,$B$12))*ISNUMBER(SEARCH(Settings!$H$4:$H$7,Mentors!$I85))))</f>
        <v/>
      </c>
      <c r="I101" s="24">
        <f>IF(OR($B101="",$B$4=""),"",IF(OR($B$13="",$B$13="Either",Mentors!$J85="Either",$B$13=Mentors!$J85),Settings!$B$11,0))</f>
        <v/>
      </c>
      <c r="J101" s="25">
        <f>IF(OR($B101="",$B$4=""),"",SUM(E101:I101))</f>
        <v/>
      </c>
      <c r="K101" s="26">
        <f>IF(J101="",-1,IF(N(D101)&lt;=0,-1,J101+(1000-ROW())/100000))</f>
        <v/>
      </c>
    </row>
    <row r="102">
      <c r="A102" s="24">
        <f>IF(Mentors!$D86="","",Mentors!$A86)</f>
        <v/>
      </c>
      <c r="B102" s="24">
        <f>IF(Mentors!$D86="","",Mentors!$D86)</f>
        <v/>
      </c>
      <c r="C102" s="24">
        <f>IF($B102="","",Mentors!$F86&amp;"")</f>
        <v/>
      </c>
      <c r="D102" s="24">
        <f>IF($B102="","",Mentors!$O86)</f>
        <v/>
      </c>
      <c r="E102" s="24">
        <f>IF(OR($B102="",$B$4=""),"",IF(AND($C102&lt;&gt;"",$C102=$B$7),Settings!$B$7,0))</f>
        <v/>
      </c>
      <c r="F102" s="24">
        <f>IF(OR($B102="",$B$4=""),"",Settings!$B$8*(($B$8&lt;&gt;"")*ISNUMBER(SEARCH($B$8,Mentors!$G86))+($B$9&lt;&gt;"")*ISNUMBER(SEARCH($B$9,Mentors!$G86))+($B$10&lt;&gt;"")*ISNUMBER(SEARCH($B$10,Mentors!$G86))))</f>
        <v/>
      </c>
      <c r="G102" s="24">
        <f>IF(OR($B102="",$B$4=""),"",Settings!$B$9*SUMPRODUCT(ISNUMBER(SEARCH(Settings!$G$4:$G$12,$B$11))*ISNUMBER(SEARCH(Settings!$G$4:$G$12,Mentors!$H86))))</f>
        <v/>
      </c>
      <c r="H102" s="24">
        <f>IF(OR($B102="",$B$4=""),"",Settings!$B$10*SUMPRODUCT(ISNUMBER(SEARCH(Settings!$H$4:$H$7,$B$12))*ISNUMBER(SEARCH(Settings!$H$4:$H$7,Mentors!$I86))))</f>
        <v/>
      </c>
      <c r="I102" s="24">
        <f>IF(OR($B102="",$B$4=""),"",IF(OR($B$13="",$B$13="Either",Mentors!$J86="Either",$B$13=Mentors!$J86),Settings!$B$11,0))</f>
        <v/>
      </c>
      <c r="J102" s="25">
        <f>IF(OR($B102="",$B$4=""),"",SUM(E102:I102))</f>
        <v/>
      </c>
      <c r="K102" s="26">
        <f>IF(J102="",-1,IF(N(D102)&lt;=0,-1,J102+(1000-ROW())/100000))</f>
        <v/>
      </c>
    </row>
    <row r="103">
      <c r="A103" s="24">
        <f>IF(Mentors!$D87="","",Mentors!$A87)</f>
        <v/>
      </c>
      <c r="B103" s="24">
        <f>IF(Mentors!$D87="","",Mentors!$D87)</f>
        <v/>
      </c>
      <c r="C103" s="24">
        <f>IF($B103="","",Mentors!$F87&amp;"")</f>
        <v/>
      </c>
      <c r="D103" s="24">
        <f>IF($B103="","",Mentors!$O87)</f>
        <v/>
      </c>
      <c r="E103" s="24">
        <f>IF(OR($B103="",$B$4=""),"",IF(AND($C103&lt;&gt;"",$C103=$B$7),Settings!$B$7,0))</f>
        <v/>
      </c>
      <c r="F103" s="24">
        <f>IF(OR($B103="",$B$4=""),"",Settings!$B$8*(($B$8&lt;&gt;"")*ISNUMBER(SEARCH($B$8,Mentors!$G87))+($B$9&lt;&gt;"")*ISNUMBER(SEARCH($B$9,Mentors!$G87))+($B$10&lt;&gt;"")*ISNUMBER(SEARCH($B$10,Mentors!$G87))))</f>
        <v/>
      </c>
      <c r="G103" s="24">
        <f>IF(OR($B103="",$B$4=""),"",Settings!$B$9*SUMPRODUCT(ISNUMBER(SEARCH(Settings!$G$4:$G$12,$B$11))*ISNUMBER(SEARCH(Settings!$G$4:$G$12,Mentors!$H87))))</f>
        <v/>
      </c>
      <c r="H103" s="24">
        <f>IF(OR($B103="",$B$4=""),"",Settings!$B$10*SUMPRODUCT(ISNUMBER(SEARCH(Settings!$H$4:$H$7,$B$12))*ISNUMBER(SEARCH(Settings!$H$4:$H$7,Mentors!$I87))))</f>
        <v/>
      </c>
      <c r="I103" s="24">
        <f>IF(OR($B103="",$B$4=""),"",IF(OR($B$13="",$B$13="Either",Mentors!$J87="Either",$B$13=Mentors!$J87),Settings!$B$11,0))</f>
        <v/>
      </c>
      <c r="J103" s="25">
        <f>IF(OR($B103="",$B$4=""),"",SUM(E103:I103))</f>
        <v/>
      </c>
      <c r="K103" s="26">
        <f>IF(J103="",-1,IF(N(D103)&lt;=0,-1,J103+(1000-ROW())/100000))</f>
        <v/>
      </c>
    </row>
    <row r="104">
      <c r="A104" s="24">
        <f>IF(Mentors!$D88="","",Mentors!$A88)</f>
        <v/>
      </c>
      <c r="B104" s="24">
        <f>IF(Mentors!$D88="","",Mentors!$D88)</f>
        <v/>
      </c>
      <c r="C104" s="24">
        <f>IF($B104="","",Mentors!$F88&amp;"")</f>
        <v/>
      </c>
      <c r="D104" s="24">
        <f>IF($B104="","",Mentors!$O88)</f>
        <v/>
      </c>
      <c r="E104" s="24">
        <f>IF(OR($B104="",$B$4=""),"",IF(AND($C104&lt;&gt;"",$C104=$B$7),Settings!$B$7,0))</f>
        <v/>
      </c>
      <c r="F104" s="24">
        <f>IF(OR($B104="",$B$4=""),"",Settings!$B$8*(($B$8&lt;&gt;"")*ISNUMBER(SEARCH($B$8,Mentors!$G88))+($B$9&lt;&gt;"")*ISNUMBER(SEARCH($B$9,Mentors!$G88))+($B$10&lt;&gt;"")*ISNUMBER(SEARCH($B$10,Mentors!$G88))))</f>
        <v/>
      </c>
      <c r="G104" s="24">
        <f>IF(OR($B104="",$B$4=""),"",Settings!$B$9*SUMPRODUCT(ISNUMBER(SEARCH(Settings!$G$4:$G$12,$B$11))*ISNUMBER(SEARCH(Settings!$G$4:$G$12,Mentors!$H88))))</f>
        <v/>
      </c>
      <c r="H104" s="24">
        <f>IF(OR($B104="",$B$4=""),"",Settings!$B$10*SUMPRODUCT(ISNUMBER(SEARCH(Settings!$H$4:$H$7,$B$12))*ISNUMBER(SEARCH(Settings!$H$4:$H$7,Mentors!$I88))))</f>
        <v/>
      </c>
      <c r="I104" s="24">
        <f>IF(OR($B104="",$B$4=""),"",IF(OR($B$13="",$B$13="Either",Mentors!$J88="Either",$B$13=Mentors!$J88),Settings!$B$11,0))</f>
        <v/>
      </c>
      <c r="J104" s="25">
        <f>IF(OR($B104="",$B$4=""),"",SUM(E104:I104))</f>
        <v/>
      </c>
      <c r="K104" s="26">
        <f>IF(J104="",-1,IF(N(D104)&lt;=0,-1,J104+(1000-ROW())/100000))</f>
        <v/>
      </c>
    </row>
    <row r="105">
      <c r="A105" s="24">
        <f>IF(Mentors!$D89="","",Mentors!$A89)</f>
        <v/>
      </c>
      <c r="B105" s="24">
        <f>IF(Mentors!$D89="","",Mentors!$D89)</f>
        <v/>
      </c>
      <c r="C105" s="24">
        <f>IF($B105="","",Mentors!$F89&amp;"")</f>
        <v/>
      </c>
      <c r="D105" s="24">
        <f>IF($B105="","",Mentors!$O89)</f>
        <v/>
      </c>
      <c r="E105" s="24">
        <f>IF(OR($B105="",$B$4=""),"",IF(AND($C105&lt;&gt;"",$C105=$B$7),Settings!$B$7,0))</f>
        <v/>
      </c>
      <c r="F105" s="24">
        <f>IF(OR($B105="",$B$4=""),"",Settings!$B$8*(($B$8&lt;&gt;"")*ISNUMBER(SEARCH($B$8,Mentors!$G89))+($B$9&lt;&gt;"")*ISNUMBER(SEARCH($B$9,Mentors!$G89))+($B$10&lt;&gt;"")*ISNUMBER(SEARCH($B$10,Mentors!$G89))))</f>
        <v/>
      </c>
      <c r="G105" s="24">
        <f>IF(OR($B105="",$B$4=""),"",Settings!$B$9*SUMPRODUCT(ISNUMBER(SEARCH(Settings!$G$4:$G$12,$B$11))*ISNUMBER(SEARCH(Settings!$G$4:$G$12,Mentors!$H89))))</f>
        <v/>
      </c>
      <c r="H105" s="24">
        <f>IF(OR($B105="",$B$4=""),"",Settings!$B$10*SUMPRODUCT(ISNUMBER(SEARCH(Settings!$H$4:$H$7,$B$12))*ISNUMBER(SEARCH(Settings!$H$4:$H$7,Mentors!$I89))))</f>
        <v/>
      </c>
      <c r="I105" s="24">
        <f>IF(OR($B105="",$B$4=""),"",IF(OR($B$13="",$B$13="Either",Mentors!$J89="Either",$B$13=Mentors!$J89),Settings!$B$11,0))</f>
        <v/>
      </c>
      <c r="J105" s="25">
        <f>IF(OR($B105="",$B$4=""),"",SUM(E105:I105))</f>
        <v/>
      </c>
      <c r="K105" s="26">
        <f>IF(J105="",-1,IF(N(D105)&lt;=0,-1,J105+(1000-ROW())/100000))</f>
        <v/>
      </c>
    </row>
    <row r="106">
      <c r="A106" s="24">
        <f>IF(Mentors!$D90="","",Mentors!$A90)</f>
        <v/>
      </c>
      <c r="B106" s="24">
        <f>IF(Mentors!$D90="","",Mentors!$D90)</f>
        <v/>
      </c>
      <c r="C106" s="24">
        <f>IF($B106="","",Mentors!$F90&amp;"")</f>
        <v/>
      </c>
      <c r="D106" s="24">
        <f>IF($B106="","",Mentors!$O90)</f>
        <v/>
      </c>
      <c r="E106" s="24">
        <f>IF(OR($B106="",$B$4=""),"",IF(AND($C106&lt;&gt;"",$C106=$B$7),Settings!$B$7,0))</f>
        <v/>
      </c>
      <c r="F106" s="24">
        <f>IF(OR($B106="",$B$4=""),"",Settings!$B$8*(($B$8&lt;&gt;"")*ISNUMBER(SEARCH($B$8,Mentors!$G90))+($B$9&lt;&gt;"")*ISNUMBER(SEARCH($B$9,Mentors!$G90))+($B$10&lt;&gt;"")*ISNUMBER(SEARCH($B$10,Mentors!$G90))))</f>
        <v/>
      </c>
      <c r="G106" s="24">
        <f>IF(OR($B106="",$B$4=""),"",Settings!$B$9*SUMPRODUCT(ISNUMBER(SEARCH(Settings!$G$4:$G$12,$B$11))*ISNUMBER(SEARCH(Settings!$G$4:$G$12,Mentors!$H90))))</f>
        <v/>
      </c>
      <c r="H106" s="24">
        <f>IF(OR($B106="",$B$4=""),"",Settings!$B$10*SUMPRODUCT(ISNUMBER(SEARCH(Settings!$H$4:$H$7,$B$12))*ISNUMBER(SEARCH(Settings!$H$4:$H$7,Mentors!$I90))))</f>
        <v/>
      </c>
      <c r="I106" s="24">
        <f>IF(OR($B106="",$B$4=""),"",IF(OR($B$13="",$B$13="Either",Mentors!$J90="Either",$B$13=Mentors!$J90),Settings!$B$11,0))</f>
        <v/>
      </c>
      <c r="J106" s="25">
        <f>IF(OR($B106="",$B$4=""),"",SUM(E106:I106))</f>
        <v/>
      </c>
      <c r="K106" s="26">
        <f>IF(J106="",-1,IF(N(D106)&lt;=0,-1,J106+(1000-ROW())/100000))</f>
        <v/>
      </c>
    </row>
    <row r="107">
      <c r="A107" s="24">
        <f>IF(Mentors!$D91="","",Mentors!$A91)</f>
        <v/>
      </c>
      <c r="B107" s="24">
        <f>IF(Mentors!$D91="","",Mentors!$D91)</f>
        <v/>
      </c>
      <c r="C107" s="24">
        <f>IF($B107="","",Mentors!$F91&amp;"")</f>
        <v/>
      </c>
      <c r="D107" s="24">
        <f>IF($B107="","",Mentors!$O91)</f>
        <v/>
      </c>
      <c r="E107" s="24">
        <f>IF(OR($B107="",$B$4=""),"",IF(AND($C107&lt;&gt;"",$C107=$B$7),Settings!$B$7,0))</f>
        <v/>
      </c>
      <c r="F107" s="24">
        <f>IF(OR($B107="",$B$4=""),"",Settings!$B$8*(($B$8&lt;&gt;"")*ISNUMBER(SEARCH($B$8,Mentors!$G91))+($B$9&lt;&gt;"")*ISNUMBER(SEARCH($B$9,Mentors!$G91))+($B$10&lt;&gt;"")*ISNUMBER(SEARCH($B$10,Mentors!$G91))))</f>
        <v/>
      </c>
      <c r="G107" s="24">
        <f>IF(OR($B107="",$B$4=""),"",Settings!$B$9*SUMPRODUCT(ISNUMBER(SEARCH(Settings!$G$4:$G$12,$B$11))*ISNUMBER(SEARCH(Settings!$G$4:$G$12,Mentors!$H91))))</f>
        <v/>
      </c>
      <c r="H107" s="24">
        <f>IF(OR($B107="",$B$4=""),"",Settings!$B$10*SUMPRODUCT(ISNUMBER(SEARCH(Settings!$H$4:$H$7,$B$12))*ISNUMBER(SEARCH(Settings!$H$4:$H$7,Mentors!$I91))))</f>
        <v/>
      </c>
      <c r="I107" s="24">
        <f>IF(OR($B107="",$B$4=""),"",IF(OR($B$13="",$B$13="Either",Mentors!$J91="Either",$B$13=Mentors!$J91),Settings!$B$11,0))</f>
        <v/>
      </c>
      <c r="J107" s="25">
        <f>IF(OR($B107="",$B$4=""),"",SUM(E107:I107))</f>
        <v/>
      </c>
      <c r="K107" s="26">
        <f>IF(J107="",-1,IF(N(D107)&lt;=0,-1,J107+(1000-ROW())/100000))</f>
        <v/>
      </c>
    </row>
    <row r="108">
      <c r="A108" s="24">
        <f>IF(Mentors!$D92="","",Mentors!$A92)</f>
        <v/>
      </c>
      <c r="B108" s="24">
        <f>IF(Mentors!$D92="","",Mentors!$D92)</f>
        <v/>
      </c>
      <c r="C108" s="24">
        <f>IF($B108="","",Mentors!$F92&amp;"")</f>
        <v/>
      </c>
      <c r="D108" s="24">
        <f>IF($B108="","",Mentors!$O92)</f>
        <v/>
      </c>
      <c r="E108" s="24">
        <f>IF(OR($B108="",$B$4=""),"",IF(AND($C108&lt;&gt;"",$C108=$B$7),Settings!$B$7,0))</f>
        <v/>
      </c>
      <c r="F108" s="24">
        <f>IF(OR($B108="",$B$4=""),"",Settings!$B$8*(($B$8&lt;&gt;"")*ISNUMBER(SEARCH($B$8,Mentors!$G92))+($B$9&lt;&gt;"")*ISNUMBER(SEARCH($B$9,Mentors!$G92))+($B$10&lt;&gt;"")*ISNUMBER(SEARCH($B$10,Mentors!$G92))))</f>
        <v/>
      </c>
      <c r="G108" s="24">
        <f>IF(OR($B108="",$B$4=""),"",Settings!$B$9*SUMPRODUCT(ISNUMBER(SEARCH(Settings!$G$4:$G$12,$B$11))*ISNUMBER(SEARCH(Settings!$G$4:$G$12,Mentors!$H92))))</f>
        <v/>
      </c>
      <c r="H108" s="24">
        <f>IF(OR($B108="",$B$4=""),"",Settings!$B$10*SUMPRODUCT(ISNUMBER(SEARCH(Settings!$H$4:$H$7,$B$12))*ISNUMBER(SEARCH(Settings!$H$4:$H$7,Mentors!$I92))))</f>
        <v/>
      </c>
      <c r="I108" s="24">
        <f>IF(OR($B108="",$B$4=""),"",IF(OR($B$13="",$B$13="Either",Mentors!$J92="Either",$B$13=Mentors!$J92),Settings!$B$11,0))</f>
        <v/>
      </c>
      <c r="J108" s="25">
        <f>IF(OR($B108="",$B$4=""),"",SUM(E108:I108))</f>
        <v/>
      </c>
      <c r="K108" s="26">
        <f>IF(J108="",-1,IF(N(D108)&lt;=0,-1,J108+(1000-ROW())/100000))</f>
        <v/>
      </c>
    </row>
    <row r="109">
      <c r="A109" s="24">
        <f>IF(Mentors!$D93="","",Mentors!$A93)</f>
        <v/>
      </c>
      <c r="B109" s="24">
        <f>IF(Mentors!$D93="","",Mentors!$D93)</f>
        <v/>
      </c>
      <c r="C109" s="24">
        <f>IF($B109="","",Mentors!$F93&amp;"")</f>
        <v/>
      </c>
      <c r="D109" s="24">
        <f>IF($B109="","",Mentors!$O93)</f>
        <v/>
      </c>
      <c r="E109" s="24">
        <f>IF(OR($B109="",$B$4=""),"",IF(AND($C109&lt;&gt;"",$C109=$B$7),Settings!$B$7,0))</f>
        <v/>
      </c>
      <c r="F109" s="24">
        <f>IF(OR($B109="",$B$4=""),"",Settings!$B$8*(($B$8&lt;&gt;"")*ISNUMBER(SEARCH($B$8,Mentors!$G93))+($B$9&lt;&gt;"")*ISNUMBER(SEARCH($B$9,Mentors!$G93))+($B$10&lt;&gt;"")*ISNUMBER(SEARCH($B$10,Mentors!$G93))))</f>
        <v/>
      </c>
      <c r="G109" s="24">
        <f>IF(OR($B109="",$B$4=""),"",Settings!$B$9*SUMPRODUCT(ISNUMBER(SEARCH(Settings!$G$4:$G$12,$B$11))*ISNUMBER(SEARCH(Settings!$G$4:$G$12,Mentors!$H93))))</f>
        <v/>
      </c>
      <c r="H109" s="24">
        <f>IF(OR($B109="",$B$4=""),"",Settings!$B$10*SUMPRODUCT(ISNUMBER(SEARCH(Settings!$H$4:$H$7,$B$12))*ISNUMBER(SEARCH(Settings!$H$4:$H$7,Mentors!$I93))))</f>
        <v/>
      </c>
      <c r="I109" s="24">
        <f>IF(OR($B109="",$B$4=""),"",IF(OR($B$13="",$B$13="Either",Mentors!$J93="Either",$B$13=Mentors!$J93),Settings!$B$11,0))</f>
        <v/>
      </c>
      <c r="J109" s="25">
        <f>IF(OR($B109="",$B$4=""),"",SUM(E109:I109))</f>
        <v/>
      </c>
      <c r="K109" s="26">
        <f>IF(J109="",-1,IF(N(D109)&lt;=0,-1,J109+(1000-ROW())/100000))</f>
        <v/>
      </c>
    </row>
    <row r="110">
      <c r="A110" s="24">
        <f>IF(Mentors!$D94="","",Mentors!$A94)</f>
        <v/>
      </c>
      <c r="B110" s="24">
        <f>IF(Mentors!$D94="","",Mentors!$D94)</f>
        <v/>
      </c>
      <c r="C110" s="24">
        <f>IF($B110="","",Mentors!$F94&amp;"")</f>
        <v/>
      </c>
      <c r="D110" s="24">
        <f>IF($B110="","",Mentors!$O94)</f>
        <v/>
      </c>
      <c r="E110" s="24">
        <f>IF(OR($B110="",$B$4=""),"",IF(AND($C110&lt;&gt;"",$C110=$B$7),Settings!$B$7,0))</f>
        <v/>
      </c>
      <c r="F110" s="24">
        <f>IF(OR($B110="",$B$4=""),"",Settings!$B$8*(($B$8&lt;&gt;"")*ISNUMBER(SEARCH($B$8,Mentors!$G94))+($B$9&lt;&gt;"")*ISNUMBER(SEARCH($B$9,Mentors!$G94))+($B$10&lt;&gt;"")*ISNUMBER(SEARCH($B$10,Mentors!$G94))))</f>
        <v/>
      </c>
      <c r="G110" s="24">
        <f>IF(OR($B110="",$B$4=""),"",Settings!$B$9*SUMPRODUCT(ISNUMBER(SEARCH(Settings!$G$4:$G$12,$B$11))*ISNUMBER(SEARCH(Settings!$G$4:$G$12,Mentors!$H94))))</f>
        <v/>
      </c>
      <c r="H110" s="24">
        <f>IF(OR($B110="",$B$4=""),"",Settings!$B$10*SUMPRODUCT(ISNUMBER(SEARCH(Settings!$H$4:$H$7,$B$12))*ISNUMBER(SEARCH(Settings!$H$4:$H$7,Mentors!$I94))))</f>
        <v/>
      </c>
      <c r="I110" s="24">
        <f>IF(OR($B110="",$B$4=""),"",IF(OR($B$13="",$B$13="Either",Mentors!$J94="Either",$B$13=Mentors!$J94),Settings!$B$11,0))</f>
        <v/>
      </c>
      <c r="J110" s="25">
        <f>IF(OR($B110="",$B$4=""),"",SUM(E110:I110))</f>
        <v/>
      </c>
      <c r="K110" s="26">
        <f>IF(J110="",-1,IF(N(D110)&lt;=0,-1,J110+(1000-ROW())/100000))</f>
        <v/>
      </c>
    </row>
    <row r="111">
      <c r="A111" s="24">
        <f>IF(Mentors!$D95="","",Mentors!$A95)</f>
        <v/>
      </c>
      <c r="B111" s="24">
        <f>IF(Mentors!$D95="","",Mentors!$D95)</f>
        <v/>
      </c>
      <c r="C111" s="24">
        <f>IF($B111="","",Mentors!$F95&amp;"")</f>
        <v/>
      </c>
      <c r="D111" s="24">
        <f>IF($B111="","",Mentors!$O95)</f>
        <v/>
      </c>
      <c r="E111" s="24">
        <f>IF(OR($B111="",$B$4=""),"",IF(AND($C111&lt;&gt;"",$C111=$B$7),Settings!$B$7,0))</f>
        <v/>
      </c>
      <c r="F111" s="24">
        <f>IF(OR($B111="",$B$4=""),"",Settings!$B$8*(($B$8&lt;&gt;"")*ISNUMBER(SEARCH($B$8,Mentors!$G95))+($B$9&lt;&gt;"")*ISNUMBER(SEARCH($B$9,Mentors!$G95))+($B$10&lt;&gt;"")*ISNUMBER(SEARCH($B$10,Mentors!$G95))))</f>
        <v/>
      </c>
      <c r="G111" s="24">
        <f>IF(OR($B111="",$B$4=""),"",Settings!$B$9*SUMPRODUCT(ISNUMBER(SEARCH(Settings!$G$4:$G$12,$B$11))*ISNUMBER(SEARCH(Settings!$G$4:$G$12,Mentors!$H95))))</f>
        <v/>
      </c>
      <c r="H111" s="24">
        <f>IF(OR($B111="",$B$4=""),"",Settings!$B$10*SUMPRODUCT(ISNUMBER(SEARCH(Settings!$H$4:$H$7,$B$12))*ISNUMBER(SEARCH(Settings!$H$4:$H$7,Mentors!$I95))))</f>
        <v/>
      </c>
      <c r="I111" s="24">
        <f>IF(OR($B111="",$B$4=""),"",IF(OR($B$13="",$B$13="Either",Mentors!$J95="Either",$B$13=Mentors!$J95),Settings!$B$11,0))</f>
        <v/>
      </c>
      <c r="J111" s="25">
        <f>IF(OR($B111="",$B$4=""),"",SUM(E111:I111))</f>
        <v/>
      </c>
      <c r="K111" s="26">
        <f>IF(J111="",-1,IF(N(D111)&lt;=0,-1,J111+(1000-ROW())/100000))</f>
        <v/>
      </c>
    </row>
    <row r="112">
      <c r="A112" s="24">
        <f>IF(Mentors!$D96="","",Mentors!$A96)</f>
        <v/>
      </c>
      <c r="B112" s="24">
        <f>IF(Mentors!$D96="","",Mentors!$D96)</f>
        <v/>
      </c>
      <c r="C112" s="24">
        <f>IF($B112="","",Mentors!$F96&amp;"")</f>
        <v/>
      </c>
      <c r="D112" s="24">
        <f>IF($B112="","",Mentors!$O96)</f>
        <v/>
      </c>
      <c r="E112" s="24">
        <f>IF(OR($B112="",$B$4=""),"",IF(AND($C112&lt;&gt;"",$C112=$B$7),Settings!$B$7,0))</f>
        <v/>
      </c>
      <c r="F112" s="24">
        <f>IF(OR($B112="",$B$4=""),"",Settings!$B$8*(($B$8&lt;&gt;"")*ISNUMBER(SEARCH($B$8,Mentors!$G96))+($B$9&lt;&gt;"")*ISNUMBER(SEARCH($B$9,Mentors!$G96))+($B$10&lt;&gt;"")*ISNUMBER(SEARCH($B$10,Mentors!$G96))))</f>
        <v/>
      </c>
      <c r="G112" s="24">
        <f>IF(OR($B112="",$B$4=""),"",Settings!$B$9*SUMPRODUCT(ISNUMBER(SEARCH(Settings!$G$4:$G$12,$B$11))*ISNUMBER(SEARCH(Settings!$G$4:$G$12,Mentors!$H96))))</f>
        <v/>
      </c>
      <c r="H112" s="24">
        <f>IF(OR($B112="",$B$4=""),"",Settings!$B$10*SUMPRODUCT(ISNUMBER(SEARCH(Settings!$H$4:$H$7,$B$12))*ISNUMBER(SEARCH(Settings!$H$4:$H$7,Mentors!$I96))))</f>
        <v/>
      </c>
      <c r="I112" s="24">
        <f>IF(OR($B112="",$B$4=""),"",IF(OR($B$13="",$B$13="Either",Mentors!$J96="Either",$B$13=Mentors!$J96),Settings!$B$11,0))</f>
        <v/>
      </c>
      <c r="J112" s="25">
        <f>IF(OR($B112="",$B$4=""),"",SUM(E112:I112))</f>
        <v/>
      </c>
      <c r="K112" s="26">
        <f>IF(J112="",-1,IF(N(D112)&lt;=0,-1,J112+(1000-ROW())/100000))</f>
        <v/>
      </c>
    </row>
    <row r="113">
      <c r="A113" s="24">
        <f>IF(Mentors!$D97="","",Mentors!$A97)</f>
        <v/>
      </c>
      <c r="B113" s="24">
        <f>IF(Mentors!$D97="","",Mentors!$D97)</f>
        <v/>
      </c>
      <c r="C113" s="24">
        <f>IF($B113="","",Mentors!$F97&amp;"")</f>
        <v/>
      </c>
      <c r="D113" s="24">
        <f>IF($B113="","",Mentors!$O97)</f>
        <v/>
      </c>
      <c r="E113" s="24">
        <f>IF(OR($B113="",$B$4=""),"",IF(AND($C113&lt;&gt;"",$C113=$B$7),Settings!$B$7,0))</f>
        <v/>
      </c>
      <c r="F113" s="24">
        <f>IF(OR($B113="",$B$4=""),"",Settings!$B$8*(($B$8&lt;&gt;"")*ISNUMBER(SEARCH($B$8,Mentors!$G97))+($B$9&lt;&gt;"")*ISNUMBER(SEARCH($B$9,Mentors!$G97))+($B$10&lt;&gt;"")*ISNUMBER(SEARCH($B$10,Mentors!$G97))))</f>
        <v/>
      </c>
      <c r="G113" s="24">
        <f>IF(OR($B113="",$B$4=""),"",Settings!$B$9*SUMPRODUCT(ISNUMBER(SEARCH(Settings!$G$4:$G$12,$B$11))*ISNUMBER(SEARCH(Settings!$G$4:$G$12,Mentors!$H97))))</f>
        <v/>
      </c>
      <c r="H113" s="24">
        <f>IF(OR($B113="",$B$4=""),"",Settings!$B$10*SUMPRODUCT(ISNUMBER(SEARCH(Settings!$H$4:$H$7,$B$12))*ISNUMBER(SEARCH(Settings!$H$4:$H$7,Mentors!$I97))))</f>
        <v/>
      </c>
      <c r="I113" s="24">
        <f>IF(OR($B113="",$B$4=""),"",IF(OR($B$13="",$B$13="Either",Mentors!$J97="Either",$B$13=Mentors!$J97),Settings!$B$11,0))</f>
        <v/>
      </c>
      <c r="J113" s="25">
        <f>IF(OR($B113="",$B$4=""),"",SUM(E113:I113))</f>
        <v/>
      </c>
      <c r="K113" s="26">
        <f>IF(J113="",-1,IF(N(D113)&lt;=0,-1,J113+(1000-ROW())/100000))</f>
        <v/>
      </c>
    </row>
    <row r="114">
      <c r="A114" s="24">
        <f>IF(Mentors!$D98="","",Mentors!$A98)</f>
        <v/>
      </c>
      <c r="B114" s="24">
        <f>IF(Mentors!$D98="","",Mentors!$D98)</f>
        <v/>
      </c>
      <c r="C114" s="24">
        <f>IF($B114="","",Mentors!$F98&amp;"")</f>
        <v/>
      </c>
      <c r="D114" s="24">
        <f>IF($B114="","",Mentors!$O98)</f>
        <v/>
      </c>
      <c r="E114" s="24">
        <f>IF(OR($B114="",$B$4=""),"",IF(AND($C114&lt;&gt;"",$C114=$B$7),Settings!$B$7,0))</f>
        <v/>
      </c>
      <c r="F114" s="24">
        <f>IF(OR($B114="",$B$4=""),"",Settings!$B$8*(($B$8&lt;&gt;"")*ISNUMBER(SEARCH($B$8,Mentors!$G98))+($B$9&lt;&gt;"")*ISNUMBER(SEARCH($B$9,Mentors!$G98))+($B$10&lt;&gt;"")*ISNUMBER(SEARCH($B$10,Mentors!$G98))))</f>
        <v/>
      </c>
      <c r="G114" s="24">
        <f>IF(OR($B114="",$B$4=""),"",Settings!$B$9*SUMPRODUCT(ISNUMBER(SEARCH(Settings!$G$4:$G$12,$B$11))*ISNUMBER(SEARCH(Settings!$G$4:$G$12,Mentors!$H98))))</f>
        <v/>
      </c>
      <c r="H114" s="24">
        <f>IF(OR($B114="",$B$4=""),"",Settings!$B$10*SUMPRODUCT(ISNUMBER(SEARCH(Settings!$H$4:$H$7,$B$12))*ISNUMBER(SEARCH(Settings!$H$4:$H$7,Mentors!$I98))))</f>
        <v/>
      </c>
      <c r="I114" s="24">
        <f>IF(OR($B114="",$B$4=""),"",IF(OR($B$13="",$B$13="Either",Mentors!$J98="Either",$B$13=Mentors!$J98),Settings!$B$11,0))</f>
        <v/>
      </c>
      <c r="J114" s="25">
        <f>IF(OR($B114="",$B$4=""),"",SUM(E114:I114))</f>
        <v/>
      </c>
      <c r="K114" s="26">
        <f>IF(J114="",-1,IF(N(D114)&lt;=0,-1,J114+(1000-ROW())/100000))</f>
        <v/>
      </c>
    </row>
    <row r="115">
      <c r="A115" s="24">
        <f>IF(Mentors!$D99="","",Mentors!$A99)</f>
        <v/>
      </c>
      <c r="B115" s="24">
        <f>IF(Mentors!$D99="","",Mentors!$D99)</f>
        <v/>
      </c>
      <c r="C115" s="24">
        <f>IF($B115="","",Mentors!$F99&amp;"")</f>
        <v/>
      </c>
      <c r="D115" s="24">
        <f>IF($B115="","",Mentors!$O99)</f>
        <v/>
      </c>
      <c r="E115" s="24">
        <f>IF(OR($B115="",$B$4=""),"",IF(AND($C115&lt;&gt;"",$C115=$B$7),Settings!$B$7,0))</f>
        <v/>
      </c>
      <c r="F115" s="24">
        <f>IF(OR($B115="",$B$4=""),"",Settings!$B$8*(($B$8&lt;&gt;"")*ISNUMBER(SEARCH($B$8,Mentors!$G99))+($B$9&lt;&gt;"")*ISNUMBER(SEARCH($B$9,Mentors!$G99))+($B$10&lt;&gt;"")*ISNUMBER(SEARCH($B$10,Mentors!$G99))))</f>
        <v/>
      </c>
      <c r="G115" s="24">
        <f>IF(OR($B115="",$B$4=""),"",Settings!$B$9*SUMPRODUCT(ISNUMBER(SEARCH(Settings!$G$4:$G$12,$B$11))*ISNUMBER(SEARCH(Settings!$G$4:$G$12,Mentors!$H99))))</f>
        <v/>
      </c>
      <c r="H115" s="24">
        <f>IF(OR($B115="",$B$4=""),"",Settings!$B$10*SUMPRODUCT(ISNUMBER(SEARCH(Settings!$H$4:$H$7,$B$12))*ISNUMBER(SEARCH(Settings!$H$4:$H$7,Mentors!$I99))))</f>
        <v/>
      </c>
      <c r="I115" s="24">
        <f>IF(OR($B115="",$B$4=""),"",IF(OR($B$13="",$B$13="Either",Mentors!$J99="Either",$B$13=Mentors!$J99),Settings!$B$11,0))</f>
        <v/>
      </c>
      <c r="J115" s="25">
        <f>IF(OR($B115="",$B$4=""),"",SUM(E115:I115))</f>
        <v/>
      </c>
      <c r="K115" s="26">
        <f>IF(J115="",-1,IF(N(D115)&lt;=0,-1,J115+(1000-ROW())/100000))</f>
        <v/>
      </c>
    </row>
    <row r="116">
      <c r="A116" s="24">
        <f>IF(Mentors!$D100="","",Mentors!$A100)</f>
        <v/>
      </c>
      <c r="B116" s="24">
        <f>IF(Mentors!$D100="","",Mentors!$D100)</f>
        <v/>
      </c>
      <c r="C116" s="24">
        <f>IF($B116="","",Mentors!$F100&amp;"")</f>
        <v/>
      </c>
      <c r="D116" s="24">
        <f>IF($B116="","",Mentors!$O100)</f>
        <v/>
      </c>
      <c r="E116" s="24">
        <f>IF(OR($B116="",$B$4=""),"",IF(AND($C116&lt;&gt;"",$C116=$B$7),Settings!$B$7,0))</f>
        <v/>
      </c>
      <c r="F116" s="24">
        <f>IF(OR($B116="",$B$4=""),"",Settings!$B$8*(($B$8&lt;&gt;"")*ISNUMBER(SEARCH($B$8,Mentors!$G100))+($B$9&lt;&gt;"")*ISNUMBER(SEARCH($B$9,Mentors!$G100))+($B$10&lt;&gt;"")*ISNUMBER(SEARCH($B$10,Mentors!$G100))))</f>
        <v/>
      </c>
      <c r="G116" s="24">
        <f>IF(OR($B116="",$B$4=""),"",Settings!$B$9*SUMPRODUCT(ISNUMBER(SEARCH(Settings!$G$4:$G$12,$B$11))*ISNUMBER(SEARCH(Settings!$G$4:$G$12,Mentors!$H100))))</f>
        <v/>
      </c>
      <c r="H116" s="24">
        <f>IF(OR($B116="",$B$4=""),"",Settings!$B$10*SUMPRODUCT(ISNUMBER(SEARCH(Settings!$H$4:$H$7,$B$12))*ISNUMBER(SEARCH(Settings!$H$4:$H$7,Mentors!$I100))))</f>
        <v/>
      </c>
      <c r="I116" s="24">
        <f>IF(OR($B116="",$B$4=""),"",IF(OR($B$13="",$B$13="Either",Mentors!$J100="Either",$B$13=Mentors!$J100),Settings!$B$11,0))</f>
        <v/>
      </c>
      <c r="J116" s="25">
        <f>IF(OR($B116="",$B$4=""),"",SUM(E116:I116))</f>
        <v/>
      </c>
      <c r="K116" s="26">
        <f>IF(J116="",-1,IF(N(D116)&lt;=0,-1,J116+(1000-ROW())/100000))</f>
        <v/>
      </c>
    </row>
    <row r="117">
      <c r="A117" s="24">
        <f>IF(Mentors!$D101="","",Mentors!$A101)</f>
        <v/>
      </c>
      <c r="B117" s="24">
        <f>IF(Mentors!$D101="","",Mentors!$D101)</f>
        <v/>
      </c>
      <c r="C117" s="24">
        <f>IF($B117="","",Mentors!$F101&amp;"")</f>
        <v/>
      </c>
      <c r="D117" s="24">
        <f>IF($B117="","",Mentors!$O101)</f>
        <v/>
      </c>
      <c r="E117" s="24">
        <f>IF(OR($B117="",$B$4=""),"",IF(AND($C117&lt;&gt;"",$C117=$B$7),Settings!$B$7,0))</f>
        <v/>
      </c>
      <c r="F117" s="24">
        <f>IF(OR($B117="",$B$4=""),"",Settings!$B$8*(($B$8&lt;&gt;"")*ISNUMBER(SEARCH($B$8,Mentors!$G101))+($B$9&lt;&gt;"")*ISNUMBER(SEARCH($B$9,Mentors!$G101))+($B$10&lt;&gt;"")*ISNUMBER(SEARCH($B$10,Mentors!$G101))))</f>
        <v/>
      </c>
      <c r="G117" s="24">
        <f>IF(OR($B117="",$B$4=""),"",Settings!$B$9*SUMPRODUCT(ISNUMBER(SEARCH(Settings!$G$4:$G$12,$B$11))*ISNUMBER(SEARCH(Settings!$G$4:$G$12,Mentors!$H101))))</f>
        <v/>
      </c>
      <c r="H117" s="24">
        <f>IF(OR($B117="",$B$4=""),"",Settings!$B$10*SUMPRODUCT(ISNUMBER(SEARCH(Settings!$H$4:$H$7,$B$12))*ISNUMBER(SEARCH(Settings!$H$4:$H$7,Mentors!$I101))))</f>
        <v/>
      </c>
      <c r="I117" s="24">
        <f>IF(OR($B117="",$B$4=""),"",IF(OR($B$13="",$B$13="Either",Mentors!$J101="Either",$B$13=Mentors!$J101),Settings!$B$11,0))</f>
        <v/>
      </c>
      <c r="J117" s="25">
        <f>IF(OR($B117="",$B$4=""),"",SUM(E117:I117))</f>
        <v/>
      </c>
      <c r="K117" s="26">
        <f>IF(J117="",-1,IF(N(D117)&lt;=0,-1,J117+(1000-ROW())/100000))</f>
        <v/>
      </c>
    </row>
    <row r="118">
      <c r="A118" s="24">
        <f>IF(Mentors!$D102="","",Mentors!$A102)</f>
        <v/>
      </c>
      <c r="B118" s="24">
        <f>IF(Mentors!$D102="","",Mentors!$D102)</f>
        <v/>
      </c>
      <c r="C118" s="24">
        <f>IF($B118="","",Mentors!$F102&amp;"")</f>
        <v/>
      </c>
      <c r="D118" s="24">
        <f>IF($B118="","",Mentors!$O102)</f>
        <v/>
      </c>
      <c r="E118" s="24">
        <f>IF(OR($B118="",$B$4=""),"",IF(AND($C118&lt;&gt;"",$C118=$B$7),Settings!$B$7,0))</f>
        <v/>
      </c>
      <c r="F118" s="24">
        <f>IF(OR($B118="",$B$4=""),"",Settings!$B$8*(($B$8&lt;&gt;"")*ISNUMBER(SEARCH($B$8,Mentors!$G102))+($B$9&lt;&gt;"")*ISNUMBER(SEARCH($B$9,Mentors!$G102))+($B$10&lt;&gt;"")*ISNUMBER(SEARCH($B$10,Mentors!$G102))))</f>
        <v/>
      </c>
      <c r="G118" s="24">
        <f>IF(OR($B118="",$B$4=""),"",Settings!$B$9*SUMPRODUCT(ISNUMBER(SEARCH(Settings!$G$4:$G$12,$B$11))*ISNUMBER(SEARCH(Settings!$G$4:$G$12,Mentors!$H102))))</f>
        <v/>
      </c>
      <c r="H118" s="24">
        <f>IF(OR($B118="",$B$4=""),"",Settings!$B$10*SUMPRODUCT(ISNUMBER(SEARCH(Settings!$H$4:$H$7,$B$12))*ISNUMBER(SEARCH(Settings!$H$4:$H$7,Mentors!$I102))))</f>
        <v/>
      </c>
      <c r="I118" s="24">
        <f>IF(OR($B118="",$B$4=""),"",IF(OR($B$13="",$B$13="Either",Mentors!$J102="Either",$B$13=Mentors!$J102),Settings!$B$11,0))</f>
        <v/>
      </c>
      <c r="J118" s="25">
        <f>IF(OR($B118="",$B$4=""),"",SUM(E118:I118))</f>
        <v/>
      </c>
      <c r="K118" s="26">
        <f>IF(J118="",-1,IF(N(D118)&lt;=0,-1,J118+(1000-ROW())/100000))</f>
        <v/>
      </c>
    </row>
    <row r="119">
      <c r="A119" s="24">
        <f>IF(Mentors!$D103="","",Mentors!$A103)</f>
        <v/>
      </c>
      <c r="B119" s="24">
        <f>IF(Mentors!$D103="","",Mentors!$D103)</f>
        <v/>
      </c>
      <c r="C119" s="24">
        <f>IF($B119="","",Mentors!$F103&amp;"")</f>
        <v/>
      </c>
      <c r="D119" s="24">
        <f>IF($B119="","",Mentors!$O103)</f>
        <v/>
      </c>
      <c r="E119" s="24">
        <f>IF(OR($B119="",$B$4=""),"",IF(AND($C119&lt;&gt;"",$C119=$B$7),Settings!$B$7,0))</f>
        <v/>
      </c>
      <c r="F119" s="24">
        <f>IF(OR($B119="",$B$4=""),"",Settings!$B$8*(($B$8&lt;&gt;"")*ISNUMBER(SEARCH($B$8,Mentors!$G103))+($B$9&lt;&gt;"")*ISNUMBER(SEARCH($B$9,Mentors!$G103))+($B$10&lt;&gt;"")*ISNUMBER(SEARCH($B$10,Mentors!$G103))))</f>
        <v/>
      </c>
      <c r="G119" s="24">
        <f>IF(OR($B119="",$B$4=""),"",Settings!$B$9*SUMPRODUCT(ISNUMBER(SEARCH(Settings!$G$4:$G$12,$B$11))*ISNUMBER(SEARCH(Settings!$G$4:$G$12,Mentors!$H103))))</f>
        <v/>
      </c>
      <c r="H119" s="24">
        <f>IF(OR($B119="",$B$4=""),"",Settings!$B$10*SUMPRODUCT(ISNUMBER(SEARCH(Settings!$H$4:$H$7,$B$12))*ISNUMBER(SEARCH(Settings!$H$4:$H$7,Mentors!$I103))))</f>
        <v/>
      </c>
      <c r="I119" s="24">
        <f>IF(OR($B119="",$B$4=""),"",IF(OR($B$13="",$B$13="Either",Mentors!$J103="Either",$B$13=Mentors!$J103),Settings!$B$11,0))</f>
        <v/>
      </c>
      <c r="J119" s="25">
        <f>IF(OR($B119="",$B$4=""),"",SUM(E119:I119))</f>
        <v/>
      </c>
      <c r="K119" s="26">
        <f>IF(J119="",-1,IF(N(D119)&lt;=0,-1,J119+(1000-ROW())/100000))</f>
        <v/>
      </c>
    </row>
    <row r="120">
      <c r="A120" s="24">
        <f>IF(Mentors!$D104="","",Mentors!$A104)</f>
        <v/>
      </c>
      <c r="B120" s="24">
        <f>IF(Mentors!$D104="","",Mentors!$D104)</f>
        <v/>
      </c>
      <c r="C120" s="24">
        <f>IF($B120="","",Mentors!$F104&amp;"")</f>
        <v/>
      </c>
      <c r="D120" s="24">
        <f>IF($B120="","",Mentors!$O104)</f>
        <v/>
      </c>
      <c r="E120" s="24">
        <f>IF(OR($B120="",$B$4=""),"",IF(AND($C120&lt;&gt;"",$C120=$B$7),Settings!$B$7,0))</f>
        <v/>
      </c>
      <c r="F120" s="24">
        <f>IF(OR($B120="",$B$4=""),"",Settings!$B$8*(($B$8&lt;&gt;"")*ISNUMBER(SEARCH($B$8,Mentors!$G104))+($B$9&lt;&gt;"")*ISNUMBER(SEARCH($B$9,Mentors!$G104))+($B$10&lt;&gt;"")*ISNUMBER(SEARCH($B$10,Mentors!$G104))))</f>
        <v/>
      </c>
      <c r="G120" s="24">
        <f>IF(OR($B120="",$B$4=""),"",Settings!$B$9*SUMPRODUCT(ISNUMBER(SEARCH(Settings!$G$4:$G$12,$B$11))*ISNUMBER(SEARCH(Settings!$G$4:$G$12,Mentors!$H104))))</f>
        <v/>
      </c>
      <c r="H120" s="24">
        <f>IF(OR($B120="",$B$4=""),"",Settings!$B$10*SUMPRODUCT(ISNUMBER(SEARCH(Settings!$H$4:$H$7,$B$12))*ISNUMBER(SEARCH(Settings!$H$4:$H$7,Mentors!$I104))))</f>
        <v/>
      </c>
      <c r="I120" s="24">
        <f>IF(OR($B120="",$B$4=""),"",IF(OR($B$13="",$B$13="Either",Mentors!$J104="Either",$B$13=Mentors!$J104),Settings!$B$11,0))</f>
        <v/>
      </c>
      <c r="J120" s="25">
        <f>IF(OR($B120="",$B$4=""),"",SUM(E120:I120))</f>
        <v/>
      </c>
      <c r="K120" s="26">
        <f>IF(J120="",-1,IF(N(D120)&lt;=0,-1,J120+(1000-ROW())/100000))</f>
        <v/>
      </c>
    </row>
    <row r="121">
      <c r="A121" s="24">
        <f>IF(Mentors!$D105="","",Mentors!$A105)</f>
        <v/>
      </c>
      <c r="B121" s="24">
        <f>IF(Mentors!$D105="","",Mentors!$D105)</f>
        <v/>
      </c>
      <c r="C121" s="24">
        <f>IF($B121="","",Mentors!$F105&amp;"")</f>
        <v/>
      </c>
      <c r="D121" s="24">
        <f>IF($B121="","",Mentors!$O105)</f>
        <v/>
      </c>
      <c r="E121" s="24">
        <f>IF(OR($B121="",$B$4=""),"",IF(AND($C121&lt;&gt;"",$C121=$B$7),Settings!$B$7,0))</f>
        <v/>
      </c>
      <c r="F121" s="24">
        <f>IF(OR($B121="",$B$4=""),"",Settings!$B$8*(($B$8&lt;&gt;"")*ISNUMBER(SEARCH($B$8,Mentors!$G105))+($B$9&lt;&gt;"")*ISNUMBER(SEARCH($B$9,Mentors!$G105))+($B$10&lt;&gt;"")*ISNUMBER(SEARCH($B$10,Mentors!$G105))))</f>
        <v/>
      </c>
      <c r="G121" s="24">
        <f>IF(OR($B121="",$B$4=""),"",Settings!$B$9*SUMPRODUCT(ISNUMBER(SEARCH(Settings!$G$4:$G$12,$B$11))*ISNUMBER(SEARCH(Settings!$G$4:$G$12,Mentors!$H105))))</f>
        <v/>
      </c>
      <c r="H121" s="24">
        <f>IF(OR($B121="",$B$4=""),"",Settings!$B$10*SUMPRODUCT(ISNUMBER(SEARCH(Settings!$H$4:$H$7,$B$12))*ISNUMBER(SEARCH(Settings!$H$4:$H$7,Mentors!$I105))))</f>
        <v/>
      </c>
      <c r="I121" s="24">
        <f>IF(OR($B121="",$B$4=""),"",IF(OR($B$13="",$B$13="Either",Mentors!$J105="Either",$B$13=Mentors!$J105),Settings!$B$11,0))</f>
        <v/>
      </c>
      <c r="J121" s="25">
        <f>IF(OR($B121="",$B$4=""),"",SUM(E121:I121))</f>
        <v/>
      </c>
      <c r="K121" s="26">
        <f>IF(J121="",-1,IF(N(D121)&lt;=0,-1,J121+(1000-ROW())/100000))</f>
        <v/>
      </c>
    </row>
    <row r="122">
      <c r="A122" s="24">
        <f>IF(Mentors!$D106="","",Mentors!$A106)</f>
        <v/>
      </c>
      <c r="B122" s="24">
        <f>IF(Mentors!$D106="","",Mentors!$D106)</f>
        <v/>
      </c>
      <c r="C122" s="24">
        <f>IF($B122="","",Mentors!$F106&amp;"")</f>
        <v/>
      </c>
      <c r="D122" s="24">
        <f>IF($B122="","",Mentors!$O106)</f>
        <v/>
      </c>
      <c r="E122" s="24">
        <f>IF(OR($B122="",$B$4=""),"",IF(AND($C122&lt;&gt;"",$C122=$B$7),Settings!$B$7,0))</f>
        <v/>
      </c>
      <c r="F122" s="24">
        <f>IF(OR($B122="",$B$4=""),"",Settings!$B$8*(($B$8&lt;&gt;"")*ISNUMBER(SEARCH($B$8,Mentors!$G106))+($B$9&lt;&gt;"")*ISNUMBER(SEARCH($B$9,Mentors!$G106))+($B$10&lt;&gt;"")*ISNUMBER(SEARCH($B$10,Mentors!$G106))))</f>
        <v/>
      </c>
      <c r="G122" s="24">
        <f>IF(OR($B122="",$B$4=""),"",Settings!$B$9*SUMPRODUCT(ISNUMBER(SEARCH(Settings!$G$4:$G$12,$B$11))*ISNUMBER(SEARCH(Settings!$G$4:$G$12,Mentors!$H106))))</f>
        <v/>
      </c>
      <c r="H122" s="24">
        <f>IF(OR($B122="",$B$4=""),"",Settings!$B$10*SUMPRODUCT(ISNUMBER(SEARCH(Settings!$H$4:$H$7,$B$12))*ISNUMBER(SEARCH(Settings!$H$4:$H$7,Mentors!$I106))))</f>
        <v/>
      </c>
      <c r="I122" s="24">
        <f>IF(OR($B122="",$B$4=""),"",IF(OR($B$13="",$B$13="Either",Mentors!$J106="Either",$B$13=Mentors!$J106),Settings!$B$11,0))</f>
        <v/>
      </c>
      <c r="J122" s="25">
        <f>IF(OR($B122="",$B$4=""),"",SUM(E122:I122))</f>
        <v/>
      </c>
      <c r="K122" s="26">
        <f>IF(J122="",-1,IF(N(D122)&lt;=0,-1,J122+(1000-ROW())/100000))</f>
        <v/>
      </c>
    </row>
    <row r="123">
      <c r="A123" s="24">
        <f>IF(Mentors!$D107="","",Mentors!$A107)</f>
        <v/>
      </c>
      <c r="B123" s="24">
        <f>IF(Mentors!$D107="","",Mentors!$D107)</f>
        <v/>
      </c>
      <c r="C123" s="24">
        <f>IF($B123="","",Mentors!$F107&amp;"")</f>
        <v/>
      </c>
      <c r="D123" s="24">
        <f>IF($B123="","",Mentors!$O107)</f>
        <v/>
      </c>
      <c r="E123" s="24">
        <f>IF(OR($B123="",$B$4=""),"",IF(AND($C123&lt;&gt;"",$C123=$B$7),Settings!$B$7,0))</f>
        <v/>
      </c>
      <c r="F123" s="24">
        <f>IF(OR($B123="",$B$4=""),"",Settings!$B$8*(($B$8&lt;&gt;"")*ISNUMBER(SEARCH($B$8,Mentors!$G107))+($B$9&lt;&gt;"")*ISNUMBER(SEARCH($B$9,Mentors!$G107))+($B$10&lt;&gt;"")*ISNUMBER(SEARCH($B$10,Mentors!$G107))))</f>
        <v/>
      </c>
      <c r="G123" s="24">
        <f>IF(OR($B123="",$B$4=""),"",Settings!$B$9*SUMPRODUCT(ISNUMBER(SEARCH(Settings!$G$4:$G$12,$B$11))*ISNUMBER(SEARCH(Settings!$G$4:$G$12,Mentors!$H107))))</f>
        <v/>
      </c>
      <c r="H123" s="24">
        <f>IF(OR($B123="",$B$4=""),"",Settings!$B$10*SUMPRODUCT(ISNUMBER(SEARCH(Settings!$H$4:$H$7,$B$12))*ISNUMBER(SEARCH(Settings!$H$4:$H$7,Mentors!$I107))))</f>
        <v/>
      </c>
      <c r="I123" s="24">
        <f>IF(OR($B123="",$B$4=""),"",IF(OR($B$13="",$B$13="Either",Mentors!$J107="Either",$B$13=Mentors!$J107),Settings!$B$11,0))</f>
        <v/>
      </c>
      <c r="J123" s="25">
        <f>IF(OR($B123="",$B$4=""),"",SUM(E123:I123))</f>
        <v/>
      </c>
      <c r="K123" s="26">
        <f>IF(J123="",-1,IF(N(D123)&lt;=0,-1,J123+(1000-ROW())/100000))</f>
        <v/>
      </c>
    </row>
    <row r="124">
      <c r="A124" s="24">
        <f>IF(Mentors!$D108="","",Mentors!$A108)</f>
        <v/>
      </c>
      <c r="B124" s="24">
        <f>IF(Mentors!$D108="","",Mentors!$D108)</f>
        <v/>
      </c>
      <c r="C124" s="24">
        <f>IF($B124="","",Mentors!$F108&amp;"")</f>
        <v/>
      </c>
      <c r="D124" s="24">
        <f>IF($B124="","",Mentors!$O108)</f>
        <v/>
      </c>
      <c r="E124" s="24">
        <f>IF(OR($B124="",$B$4=""),"",IF(AND($C124&lt;&gt;"",$C124=$B$7),Settings!$B$7,0))</f>
        <v/>
      </c>
      <c r="F124" s="24">
        <f>IF(OR($B124="",$B$4=""),"",Settings!$B$8*(($B$8&lt;&gt;"")*ISNUMBER(SEARCH($B$8,Mentors!$G108))+($B$9&lt;&gt;"")*ISNUMBER(SEARCH($B$9,Mentors!$G108))+($B$10&lt;&gt;"")*ISNUMBER(SEARCH($B$10,Mentors!$G108))))</f>
        <v/>
      </c>
      <c r="G124" s="24">
        <f>IF(OR($B124="",$B$4=""),"",Settings!$B$9*SUMPRODUCT(ISNUMBER(SEARCH(Settings!$G$4:$G$12,$B$11))*ISNUMBER(SEARCH(Settings!$G$4:$G$12,Mentors!$H108))))</f>
        <v/>
      </c>
      <c r="H124" s="24">
        <f>IF(OR($B124="",$B$4=""),"",Settings!$B$10*SUMPRODUCT(ISNUMBER(SEARCH(Settings!$H$4:$H$7,$B$12))*ISNUMBER(SEARCH(Settings!$H$4:$H$7,Mentors!$I108))))</f>
        <v/>
      </c>
      <c r="I124" s="24">
        <f>IF(OR($B124="",$B$4=""),"",IF(OR($B$13="",$B$13="Either",Mentors!$J108="Either",$B$13=Mentors!$J108),Settings!$B$11,0))</f>
        <v/>
      </c>
      <c r="J124" s="25">
        <f>IF(OR($B124="",$B$4=""),"",SUM(E124:I124))</f>
        <v/>
      </c>
      <c r="K124" s="26">
        <f>IF(J124="",-1,IF(N(D124)&lt;=0,-1,J124+(1000-ROW())/100000))</f>
        <v/>
      </c>
    </row>
    <row r="125">
      <c r="A125" s="24">
        <f>IF(Mentors!$D109="","",Mentors!$A109)</f>
        <v/>
      </c>
      <c r="B125" s="24">
        <f>IF(Mentors!$D109="","",Mentors!$D109)</f>
        <v/>
      </c>
      <c r="C125" s="24">
        <f>IF($B125="","",Mentors!$F109&amp;"")</f>
        <v/>
      </c>
      <c r="D125" s="24">
        <f>IF($B125="","",Mentors!$O109)</f>
        <v/>
      </c>
      <c r="E125" s="24">
        <f>IF(OR($B125="",$B$4=""),"",IF(AND($C125&lt;&gt;"",$C125=$B$7),Settings!$B$7,0))</f>
        <v/>
      </c>
      <c r="F125" s="24">
        <f>IF(OR($B125="",$B$4=""),"",Settings!$B$8*(($B$8&lt;&gt;"")*ISNUMBER(SEARCH($B$8,Mentors!$G109))+($B$9&lt;&gt;"")*ISNUMBER(SEARCH($B$9,Mentors!$G109))+($B$10&lt;&gt;"")*ISNUMBER(SEARCH($B$10,Mentors!$G109))))</f>
        <v/>
      </c>
      <c r="G125" s="24">
        <f>IF(OR($B125="",$B$4=""),"",Settings!$B$9*SUMPRODUCT(ISNUMBER(SEARCH(Settings!$G$4:$G$12,$B$11))*ISNUMBER(SEARCH(Settings!$G$4:$G$12,Mentors!$H109))))</f>
        <v/>
      </c>
      <c r="H125" s="24">
        <f>IF(OR($B125="",$B$4=""),"",Settings!$B$10*SUMPRODUCT(ISNUMBER(SEARCH(Settings!$H$4:$H$7,$B$12))*ISNUMBER(SEARCH(Settings!$H$4:$H$7,Mentors!$I109))))</f>
        <v/>
      </c>
      <c r="I125" s="24">
        <f>IF(OR($B125="",$B$4=""),"",IF(OR($B$13="",$B$13="Either",Mentors!$J109="Either",$B$13=Mentors!$J109),Settings!$B$11,0))</f>
        <v/>
      </c>
      <c r="J125" s="25">
        <f>IF(OR($B125="",$B$4=""),"",SUM(E125:I125))</f>
        <v/>
      </c>
      <c r="K125" s="26">
        <f>IF(J125="",-1,IF(N(D125)&lt;=0,-1,J125+(1000-ROW())/100000))</f>
        <v/>
      </c>
    </row>
    <row r="126">
      <c r="A126" s="24">
        <f>IF(Mentors!$D110="","",Mentors!$A110)</f>
        <v/>
      </c>
      <c r="B126" s="24">
        <f>IF(Mentors!$D110="","",Mentors!$D110)</f>
        <v/>
      </c>
      <c r="C126" s="24">
        <f>IF($B126="","",Mentors!$F110&amp;"")</f>
        <v/>
      </c>
      <c r="D126" s="24">
        <f>IF($B126="","",Mentors!$O110)</f>
        <v/>
      </c>
      <c r="E126" s="24">
        <f>IF(OR($B126="",$B$4=""),"",IF(AND($C126&lt;&gt;"",$C126=$B$7),Settings!$B$7,0))</f>
        <v/>
      </c>
      <c r="F126" s="24">
        <f>IF(OR($B126="",$B$4=""),"",Settings!$B$8*(($B$8&lt;&gt;"")*ISNUMBER(SEARCH($B$8,Mentors!$G110))+($B$9&lt;&gt;"")*ISNUMBER(SEARCH($B$9,Mentors!$G110))+($B$10&lt;&gt;"")*ISNUMBER(SEARCH($B$10,Mentors!$G110))))</f>
        <v/>
      </c>
      <c r="G126" s="24">
        <f>IF(OR($B126="",$B$4=""),"",Settings!$B$9*SUMPRODUCT(ISNUMBER(SEARCH(Settings!$G$4:$G$12,$B$11))*ISNUMBER(SEARCH(Settings!$G$4:$G$12,Mentors!$H110))))</f>
        <v/>
      </c>
      <c r="H126" s="24">
        <f>IF(OR($B126="",$B$4=""),"",Settings!$B$10*SUMPRODUCT(ISNUMBER(SEARCH(Settings!$H$4:$H$7,$B$12))*ISNUMBER(SEARCH(Settings!$H$4:$H$7,Mentors!$I110))))</f>
        <v/>
      </c>
      <c r="I126" s="24">
        <f>IF(OR($B126="",$B$4=""),"",IF(OR($B$13="",$B$13="Either",Mentors!$J110="Either",$B$13=Mentors!$J110),Settings!$B$11,0))</f>
        <v/>
      </c>
      <c r="J126" s="25">
        <f>IF(OR($B126="",$B$4=""),"",SUM(E126:I126))</f>
        <v/>
      </c>
      <c r="K126" s="26">
        <f>IF(J126="",-1,IF(N(D126)&lt;=0,-1,J126+(1000-ROW())/100000))</f>
        <v/>
      </c>
    </row>
    <row r="127">
      <c r="A127" s="24">
        <f>IF(Mentors!$D111="","",Mentors!$A111)</f>
        <v/>
      </c>
      <c r="B127" s="24">
        <f>IF(Mentors!$D111="","",Mentors!$D111)</f>
        <v/>
      </c>
      <c r="C127" s="24">
        <f>IF($B127="","",Mentors!$F111&amp;"")</f>
        <v/>
      </c>
      <c r="D127" s="24">
        <f>IF($B127="","",Mentors!$O111)</f>
        <v/>
      </c>
      <c r="E127" s="24">
        <f>IF(OR($B127="",$B$4=""),"",IF(AND($C127&lt;&gt;"",$C127=$B$7),Settings!$B$7,0))</f>
        <v/>
      </c>
      <c r="F127" s="24">
        <f>IF(OR($B127="",$B$4=""),"",Settings!$B$8*(($B$8&lt;&gt;"")*ISNUMBER(SEARCH($B$8,Mentors!$G111))+($B$9&lt;&gt;"")*ISNUMBER(SEARCH($B$9,Mentors!$G111))+($B$10&lt;&gt;"")*ISNUMBER(SEARCH($B$10,Mentors!$G111))))</f>
        <v/>
      </c>
      <c r="G127" s="24">
        <f>IF(OR($B127="",$B$4=""),"",Settings!$B$9*SUMPRODUCT(ISNUMBER(SEARCH(Settings!$G$4:$G$12,$B$11))*ISNUMBER(SEARCH(Settings!$G$4:$G$12,Mentors!$H111))))</f>
        <v/>
      </c>
      <c r="H127" s="24">
        <f>IF(OR($B127="",$B$4=""),"",Settings!$B$10*SUMPRODUCT(ISNUMBER(SEARCH(Settings!$H$4:$H$7,$B$12))*ISNUMBER(SEARCH(Settings!$H$4:$H$7,Mentors!$I111))))</f>
        <v/>
      </c>
      <c r="I127" s="24">
        <f>IF(OR($B127="",$B$4=""),"",IF(OR($B$13="",$B$13="Either",Mentors!$J111="Either",$B$13=Mentors!$J111),Settings!$B$11,0))</f>
        <v/>
      </c>
      <c r="J127" s="25">
        <f>IF(OR($B127="",$B$4=""),"",SUM(E127:I127))</f>
        <v/>
      </c>
      <c r="K127" s="26">
        <f>IF(J127="",-1,IF(N(D127)&lt;=0,-1,J127+(1000-ROW())/100000))</f>
        <v/>
      </c>
    </row>
    <row r="128">
      <c r="A128" s="24">
        <f>IF(Mentors!$D112="","",Mentors!$A112)</f>
        <v/>
      </c>
      <c r="B128" s="24">
        <f>IF(Mentors!$D112="","",Mentors!$D112)</f>
        <v/>
      </c>
      <c r="C128" s="24">
        <f>IF($B128="","",Mentors!$F112&amp;"")</f>
        <v/>
      </c>
      <c r="D128" s="24">
        <f>IF($B128="","",Mentors!$O112)</f>
        <v/>
      </c>
      <c r="E128" s="24">
        <f>IF(OR($B128="",$B$4=""),"",IF(AND($C128&lt;&gt;"",$C128=$B$7),Settings!$B$7,0))</f>
        <v/>
      </c>
      <c r="F128" s="24">
        <f>IF(OR($B128="",$B$4=""),"",Settings!$B$8*(($B$8&lt;&gt;"")*ISNUMBER(SEARCH($B$8,Mentors!$G112))+($B$9&lt;&gt;"")*ISNUMBER(SEARCH($B$9,Mentors!$G112))+($B$10&lt;&gt;"")*ISNUMBER(SEARCH($B$10,Mentors!$G112))))</f>
        <v/>
      </c>
      <c r="G128" s="24">
        <f>IF(OR($B128="",$B$4=""),"",Settings!$B$9*SUMPRODUCT(ISNUMBER(SEARCH(Settings!$G$4:$G$12,$B$11))*ISNUMBER(SEARCH(Settings!$G$4:$G$12,Mentors!$H112))))</f>
        <v/>
      </c>
      <c r="H128" s="24">
        <f>IF(OR($B128="",$B$4=""),"",Settings!$B$10*SUMPRODUCT(ISNUMBER(SEARCH(Settings!$H$4:$H$7,$B$12))*ISNUMBER(SEARCH(Settings!$H$4:$H$7,Mentors!$I112))))</f>
        <v/>
      </c>
      <c r="I128" s="24">
        <f>IF(OR($B128="",$B$4=""),"",IF(OR($B$13="",$B$13="Either",Mentors!$J112="Either",$B$13=Mentors!$J112),Settings!$B$11,0))</f>
        <v/>
      </c>
      <c r="J128" s="25">
        <f>IF(OR($B128="",$B$4=""),"",SUM(E128:I128))</f>
        <v/>
      </c>
      <c r="K128" s="26">
        <f>IF(J128="",-1,IF(N(D128)&lt;=0,-1,J128+(1000-ROW())/100000))</f>
        <v/>
      </c>
    </row>
    <row r="129">
      <c r="A129" s="24">
        <f>IF(Mentors!$D113="","",Mentors!$A113)</f>
        <v/>
      </c>
      <c r="B129" s="24">
        <f>IF(Mentors!$D113="","",Mentors!$D113)</f>
        <v/>
      </c>
      <c r="C129" s="24">
        <f>IF($B129="","",Mentors!$F113&amp;"")</f>
        <v/>
      </c>
      <c r="D129" s="24">
        <f>IF($B129="","",Mentors!$O113)</f>
        <v/>
      </c>
      <c r="E129" s="24">
        <f>IF(OR($B129="",$B$4=""),"",IF(AND($C129&lt;&gt;"",$C129=$B$7),Settings!$B$7,0))</f>
        <v/>
      </c>
      <c r="F129" s="24">
        <f>IF(OR($B129="",$B$4=""),"",Settings!$B$8*(($B$8&lt;&gt;"")*ISNUMBER(SEARCH($B$8,Mentors!$G113))+($B$9&lt;&gt;"")*ISNUMBER(SEARCH($B$9,Mentors!$G113))+($B$10&lt;&gt;"")*ISNUMBER(SEARCH($B$10,Mentors!$G113))))</f>
        <v/>
      </c>
      <c r="G129" s="24">
        <f>IF(OR($B129="",$B$4=""),"",Settings!$B$9*SUMPRODUCT(ISNUMBER(SEARCH(Settings!$G$4:$G$12,$B$11))*ISNUMBER(SEARCH(Settings!$G$4:$G$12,Mentors!$H113))))</f>
        <v/>
      </c>
      <c r="H129" s="24">
        <f>IF(OR($B129="",$B$4=""),"",Settings!$B$10*SUMPRODUCT(ISNUMBER(SEARCH(Settings!$H$4:$H$7,$B$12))*ISNUMBER(SEARCH(Settings!$H$4:$H$7,Mentors!$I113))))</f>
        <v/>
      </c>
      <c r="I129" s="24">
        <f>IF(OR($B129="",$B$4=""),"",IF(OR($B$13="",$B$13="Either",Mentors!$J113="Either",$B$13=Mentors!$J113),Settings!$B$11,0))</f>
        <v/>
      </c>
      <c r="J129" s="25">
        <f>IF(OR($B129="",$B$4=""),"",SUM(E129:I129))</f>
        <v/>
      </c>
      <c r="K129" s="26">
        <f>IF(J129="",-1,IF(N(D129)&lt;=0,-1,J129+(1000-ROW())/100000))</f>
        <v/>
      </c>
    </row>
    <row r="130">
      <c r="A130" s="24">
        <f>IF(Mentors!$D114="","",Mentors!$A114)</f>
        <v/>
      </c>
      <c r="B130" s="24">
        <f>IF(Mentors!$D114="","",Mentors!$D114)</f>
        <v/>
      </c>
      <c r="C130" s="24">
        <f>IF($B130="","",Mentors!$F114&amp;"")</f>
        <v/>
      </c>
      <c r="D130" s="24">
        <f>IF($B130="","",Mentors!$O114)</f>
        <v/>
      </c>
      <c r="E130" s="24">
        <f>IF(OR($B130="",$B$4=""),"",IF(AND($C130&lt;&gt;"",$C130=$B$7),Settings!$B$7,0))</f>
        <v/>
      </c>
      <c r="F130" s="24">
        <f>IF(OR($B130="",$B$4=""),"",Settings!$B$8*(($B$8&lt;&gt;"")*ISNUMBER(SEARCH($B$8,Mentors!$G114))+($B$9&lt;&gt;"")*ISNUMBER(SEARCH($B$9,Mentors!$G114))+($B$10&lt;&gt;"")*ISNUMBER(SEARCH($B$10,Mentors!$G114))))</f>
        <v/>
      </c>
      <c r="G130" s="24">
        <f>IF(OR($B130="",$B$4=""),"",Settings!$B$9*SUMPRODUCT(ISNUMBER(SEARCH(Settings!$G$4:$G$12,$B$11))*ISNUMBER(SEARCH(Settings!$G$4:$G$12,Mentors!$H114))))</f>
        <v/>
      </c>
      <c r="H130" s="24">
        <f>IF(OR($B130="",$B$4=""),"",Settings!$B$10*SUMPRODUCT(ISNUMBER(SEARCH(Settings!$H$4:$H$7,$B$12))*ISNUMBER(SEARCH(Settings!$H$4:$H$7,Mentors!$I114))))</f>
        <v/>
      </c>
      <c r="I130" s="24">
        <f>IF(OR($B130="",$B$4=""),"",IF(OR($B$13="",$B$13="Either",Mentors!$J114="Either",$B$13=Mentors!$J114),Settings!$B$11,0))</f>
        <v/>
      </c>
      <c r="J130" s="25">
        <f>IF(OR($B130="",$B$4=""),"",SUM(E130:I130))</f>
        <v/>
      </c>
      <c r="K130" s="26">
        <f>IF(J130="",-1,IF(N(D130)&lt;=0,-1,J130+(1000-ROW())/100000))</f>
        <v/>
      </c>
    </row>
    <row r="131">
      <c r="A131" s="24">
        <f>IF(Mentors!$D115="","",Mentors!$A115)</f>
        <v/>
      </c>
      <c r="B131" s="24">
        <f>IF(Mentors!$D115="","",Mentors!$D115)</f>
        <v/>
      </c>
      <c r="C131" s="24">
        <f>IF($B131="","",Mentors!$F115&amp;"")</f>
        <v/>
      </c>
      <c r="D131" s="24">
        <f>IF($B131="","",Mentors!$O115)</f>
        <v/>
      </c>
      <c r="E131" s="24">
        <f>IF(OR($B131="",$B$4=""),"",IF(AND($C131&lt;&gt;"",$C131=$B$7),Settings!$B$7,0))</f>
        <v/>
      </c>
      <c r="F131" s="24">
        <f>IF(OR($B131="",$B$4=""),"",Settings!$B$8*(($B$8&lt;&gt;"")*ISNUMBER(SEARCH($B$8,Mentors!$G115))+($B$9&lt;&gt;"")*ISNUMBER(SEARCH($B$9,Mentors!$G115))+($B$10&lt;&gt;"")*ISNUMBER(SEARCH($B$10,Mentors!$G115))))</f>
        <v/>
      </c>
      <c r="G131" s="24">
        <f>IF(OR($B131="",$B$4=""),"",Settings!$B$9*SUMPRODUCT(ISNUMBER(SEARCH(Settings!$G$4:$G$12,$B$11))*ISNUMBER(SEARCH(Settings!$G$4:$G$12,Mentors!$H115))))</f>
        <v/>
      </c>
      <c r="H131" s="24">
        <f>IF(OR($B131="",$B$4=""),"",Settings!$B$10*SUMPRODUCT(ISNUMBER(SEARCH(Settings!$H$4:$H$7,$B$12))*ISNUMBER(SEARCH(Settings!$H$4:$H$7,Mentors!$I115))))</f>
        <v/>
      </c>
      <c r="I131" s="24">
        <f>IF(OR($B131="",$B$4=""),"",IF(OR($B$13="",$B$13="Either",Mentors!$J115="Either",$B$13=Mentors!$J115),Settings!$B$11,0))</f>
        <v/>
      </c>
      <c r="J131" s="25">
        <f>IF(OR($B131="",$B$4=""),"",SUM(E131:I131))</f>
        <v/>
      </c>
      <c r="K131" s="26">
        <f>IF(J131="",-1,IF(N(D131)&lt;=0,-1,J131+(1000-ROW())/100000))</f>
        <v/>
      </c>
    </row>
    <row r="132">
      <c r="A132" s="24">
        <f>IF(Mentors!$D116="","",Mentors!$A116)</f>
        <v/>
      </c>
      <c r="B132" s="24">
        <f>IF(Mentors!$D116="","",Mentors!$D116)</f>
        <v/>
      </c>
      <c r="C132" s="24">
        <f>IF($B132="","",Mentors!$F116&amp;"")</f>
        <v/>
      </c>
      <c r="D132" s="24">
        <f>IF($B132="","",Mentors!$O116)</f>
        <v/>
      </c>
      <c r="E132" s="24">
        <f>IF(OR($B132="",$B$4=""),"",IF(AND($C132&lt;&gt;"",$C132=$B$7),Settings!$B$7,0))</f>
        <v/>
      </c>
      <c r="F132" s="24">
        <f>IF(OR($B132="",$B$4=""),"",Settings!$B$8*(($B$8&lt;&gt;"")*ISNUMBER(SEARCH($B$8,Mentors!$G116))+($B$9&lt;&gt;"")*ISNUMBER(SEARCH($B$9,Mentors!$G116))+($B$10&lt;&gt;"")*ISNUMBER(SEARCH($B$10,Mentors!$G116))))</f>
        <v/>
      </c>
      <c r="G132" s="24">
        <f>IF(OR($B132="",$B$4=""),"",Settings!$B$9*SUMPRODUCT(ISNUMBER(SEARCH(Settings!$G$4:$G$12,$B$11))*ISNUMBER(SEARCH(Settings!$G$4:$G$12,Mentors!$H116))))</f>
        <v/>
      </c>
      <c r="H132" s="24">
        <f>IF(OR($B132="",$B$4=""),"",Settings!$B$10*SUMPRODUCT(ISNUMBER(SEARCH(Settings!$H$4:$H$7,$B$12))*ISNUMBER(SEARCH(Settings!$H$4:$H$7,Mentors!$I116))))</f>
        <v/>
      </c>
      <c r="I132" s="24">
        <f>IF(OR($B132="",$B$4=""),"",IF(OR($B$13="",$B$13="Either",Mentors!$J116="Either",$B$13=Mentors!$J116),Settings!$B$11,0))</f>
        <v/>
      </c>
      <c r="J132" s="25">
        <f>IF(OR($B132="",$B$4=""),"",SUM(E132:I132))</f>
        <v/>
      </c>
      <c r="K132" s="26">
        <f>IF(J132="",-1,IF(N(D132)&lt;=0,-1,J132+(1000-ROW())/100000))</f>
        <v/>
      </c>
    </row>
    <row r="133">
      <c r="A133" s="24">
        <f>IF(Mentors!$D117="","",Mentors!$A117)</f>
        <v/>
      </c>
      <c r="B133" s="24">
        <f>IF(Mentors!$D117="","",Mentors!$D117)</f>
        <v/>
      </c>
      <c r="C133" s="24">
        <f>IF($B133="","",Mentors!$F117&amp;"")</f>
        <v/>
      </c>
      <c r="D133" s="24">
        <f>IF($B133="","",Mentors!$O117)</f>
        <v/>
      </c>
      <c r="E133" s="24">
        <f>IF(OR($B133="",$B$4=""),"",IF(AND($C133&lt;&gt;"",$C133=$B$7),Settings!$B$7,0))</f>
        <v/>
      </c>
      <c r="F133" s="24">
        <f>IF(OR($B133="",$B$4=""),"",Settings!$B$8*(($B$8&lt;&gt;"")*ISNUMBER(SEARCH($B$8,Mentors!$G117))+($B$9&lt;&gt;"")*ISNUMBER(SEARCH($B$9,Mentors!$G117))+($B$10&lt;&gt;"")*ISNUMBER(SEARCH($B$10,Mentors!$G117))))</f>
        <v/>
      </c>
      <c r="G133" s="24">
        <f>IF(OR($B133="",$B$4=""),"",Settings!$B$9*SUMPRODUCT(ISNUMBER(SEARCH(Settings!$G$4:$G$12,$B$11))*ISNUMBER(SEARCH(Settings!$G$4:$G$12,Mentors!$H117))))</f>
        <v/>
      </c>
      <c r="H133" s="24">
        <f>IF(OR($B133="",$B$4=""),"",Settings!$B$10*SUMPRODUCT(ISNUMBER(SEARCH(Settings!$H$4:$H$7,$B$12))*ISNUMBER(SEARCH(Settings!$H$4:$H$7,Mentors!$I117))))</f>
        <v/>
      </c>
      <c r="I133" s="24">
        <f>IF(OR($B133="",$B$4=""),"",IF(OR($B$13="",$B$13="Either",Mentors!$J117="Either",$B$13=Mentors!$J117),Settings!$B$11,0))</f>
        <v/>
      </c>
      <c r="J133" s="25">
        <f>IF(OR($B133="",$B$4=""),"",SUM(E133:I133))</f>
        <v/>
      </c>
      <c r="K133" s="26">
        <f>IF(J133="",-1,IF(N(D133)&lt;=0,-1,J133+(1000-ROW())/100000))</f>
        <v/>
      </c>
    </row>
    <row r="134">
      <c r="A134" s="24">
        <f>IF(Mentors!$D118="","",Mentors!$A118)</f>
        <v/>
      </c>
      <c r="B134" s="24">
        <f>IF(Mentors!$D118="","",Mentors!$D118)</f>
        <v/>
      </c>
      <c r="C134" s="24">
        <f>IF($B134="","",Mentors!$F118&amp;"")</f>
        <v/>
      </c>
      <c r="D134" s="24">
        <f>IF($B134="","",Mentors!$O118)</f>
        <v/>
      </c>
      <c r="E134" s="24">
        <f>IF(OR($B134="",$B$4=""),"",IF(AND($C134&lt;&gt;"",$C134=$B$7),Settings!$B$7,0))</f>
        <v/>
      </c>
      <c r="F134" s="24">
        <f>IF(OR($B134="",$B$4=""),"",Settings!$B$8*(($B$8&lt;&gt;"")*ISNUMBER(SEARCH($B$8,Mentors!$G118))+($B$9&lt;&gt;"")*ISNUMBER(SEARCH($B$9,Mentors!$G118))+($B$10&lt;&gt;"")*ISNUMBER(SEARCH($B$10,Mentors!$G118))))</f>
        <v/>
      </c>
      <c r="G134" s="24">
        <f>IF(OR($B134="",$B$4=""),"",Settings!$B$9*SUMPRODUCT(ISNUMBER(SEARCH(Settings!$G$4:$G$12,$B$11))*ISNUMBER(SEARCH(Settings!$G$4:$G$12,Mentors!$H118))))</f>
        <v/>
      </c>
      <c r="H134" s="24">
        <f>IF(OR($B134="",$B$4=""),"",Settings!$B$10*SUMPRODUCT(ISNUMBER(SEARCH(Settings!$H$4:$H$7,$B$12))*ISNUMBER(SEARCH(Settings!$H$4:$H$7,Mentors!$I118))))</f>
        <v/>
      </c>
      <c r="I134" s="24">
        <f>IF(OR($B134="",$B$4=""),"",IF(OR($B$13="",$B$13="Either",Mentors!$J118="Either",$B$13=Mentors!$J118),Settings!$B$11,0))</f>
        <v/>
      </c>
      <c r="J134" s="25">
        <f>IF(OR($B134="",$B$4=""),"",SUM(E134:I134))</f>
        <v/>
      </c>
      <c r="K134" s="26">
        <f>IF(J134="",-1,IF(N(D134)&lt;=0,-1,J134+(1000-ROW())/100000))</f>
        <v/>
      </c>
    </row>
    <row r="135">
      <c r="A135" s="24">
        <f>IF(Mentors!$D119="","",Mentors!$A119)</f>
        <v/>
      </c>
      <c r="B135" s="24">
        <f>IF(Mentors!$D119="","",Mentors!$D119)</f>
        <v/>
      </c>
      <c r="C135" s="24">
        <f>IF($B135="","",Mentors!$F119&amp;"")</f>
        <v/>
      </c>
      <c r="D135" s="24">
        <f>IF($B135="","",Mentors!$O119)</f>
        <v/>
      </c>
      <c r="E135" s="24">
        <f>IF(OR($B135="",$B$4=""),"",IF(AND($C135&lt;&gt;"",$C135=$B$7),Settings!$B$7,0))</f>
        <v/>
      </c>
      <c r="F135" s="24">
        <f>IF(OR($B135="",$B$4=""),"",Settings!$B$8*(($B$8&lt;&gt;"")*ISNUMBER(SEARCH($B$8,Mentors!$G119))+($B$9&lt;&gt;"")*ISNUMBER(SEARCH($B$9,Mentors!$G119))+($B$10&lt;&gt;"")*ISNUMBER(SEARCH($B$10,Mentors!$G119))))</f>
        <v/>
      </c>
      <c r="G135" s="24">
        <f>IF(OR($B135="",$B$4=""),"",Settings!$B$9*SUMPRODUCT(ISNUMBER(SEARCH(Settings!$G$4:$G$12,$B$11))*ISNUMBER(SEARCH(Settings!$G$4:$G$12,Mentors!$H119))))</f>
        <v/>
      </c>
      <c r="H135" s="24">
        <f>IF(OR($B135="",$B$4=""),"",Settings!$B$10*SUMPRODUCT(ISNUMBER(SEARCH(Settings!$H$4:$H$7,$B$12))*ISNUMBER(SEARCH(Settings!$H$4:$H$7,Mentors!$I119))))</f>
        <v/>
      </c>
      <c r="I135" s="24">
        <f>IF(OR($B135="",$B$4=""),"",IF(OR($B$13="",$B$13="Either",Mentors!$J119="Either",$B$13=Mentors!$J119),Settings!$B$11,0))</f>
        <v/>
      </c>
      <c r="J135" s="25">
        <f>IF(OR($B135="",$B$4=""),"",SUM(E135:I135))</f>
        <v/>
      </c>
      <c r="K135" s="26">
        <f>IF(J135="",-1,IF(N(D135)&lt;=0,-1,J135+(1000-ROW())/100000))</f>
        <v/>
      </c>
    </row>
    <row r="136">
      <c r="A136" s="24">
        <f>IF(Mentors!$D120="","",Mentors!$A120)</f>
        <v/>
      </c>
      <c r="B136" s="24">
        <f>IF(Mentors!$D120="","",Mentors!$D120)</f>
        <v/>
      </c>
      <c r="C136" s="24">
        <f>IF($B136="","",Mentors!$F120&amp;"")</f>
        <v/>
      </c>
      <c r="D136" s="24">
        <f>IF($B136="","",Mentors!$O120)</f>
        <v/>
      </c>
      <c r="E136" s="24">
        <f>IF(OR($B136="",$B$4=""),"",IF(AND($C136&lt;&gt;"",$C136=$B$7),Settings!$B$7,0))</f>
        <v/>
      </c>
      <c r="F136" s="24">
        <f>IF(OR($B136="",$B$4=""),"",Settings!$B$8*(($B$8&lt;&gt;"")*ISNUMBER(SEARCH($B$8,Mentors!$G120))+($B$9&lt;&gt;"")*ISNUMBER(SEARCH($B$9,Mentors!$G120))+($B$10&lt;&gt;"")*ISNUMBER(SEARCH($B$10,Mentors!$G120))))</f>
        <v/>
      </c>
      <c r="G136" s="24">
        <f>IF(OR($B136="",$B$4=""),"",Settings!$B$9*SUMPRODUCT(ISNUMBER(SEARCH(Settings!$G$4:$G$12,$B$11))*ISNUMBER(SEARCH(Settings!$G$4:$G$12,Mentors!$H120))))</f>
        <v/>
      </c>
      <c r="H136" s="24">
        <f>IF(OR($B136="",$B$4=""),"",Settings!$B$10*SUMPRODUCT(ISNUMBER(SEARCH(Settings!$H$4:$H$7,$B$12))*ISNUMBER(SEARCH(Settings!$H$4:$H$7,Mentors!$I120))))</f>
        <v/>
      </c>
      <c r="I136" s="24">
        <f>IF(OR($B136="",$B$4=""),"",IF(OR($B$13="",$B$13="Either",Mentors!$J120="Either",$B$13=Mentors!$J120),Settings!$B$11,0))</f>
        <v/>
      </c>
      <c r="J136" s="25">
        <f>IF(OR($B136="",$B$4=""),"",SUM(E136:I136))</f>
        <v/>
      </c>
      <c r="K136" s="26">
        <f>IF(J136="",-1,IF(N(D136)&lt;=0,-1,J136+(1000-ROW())/100000))</f>
        <v/>
      </c>
    </row>
    <row r="137">
      <c r="A137" s="24">
        <f>IF(Mentors!$D121="","",Mentors!$A121)</f>
        <v/>
      </c>
      <c r="B137" s="24">
        <f>IF(Mentors!$D121="","",Mentors!$D121)</f>
        <v/>
      </c>
      <c r="C137" s="24">
        <f>IF($B137="","",Mentors!$F121&amp;"")</f>
        <v/>
      </c>
      <c r="D137" s="24">
        <f>IF($B137="","",Mentors!$O121)</f>
        <v/>
      </c>
      <c r="E137" s="24">
        <f>IF(OR($B137="",$B$4=""),"",IF(AND($C137&lt;&gt;"",$C137=$B$7),Settings!$B$7,0))</f>
        <v/>
      </c>
      <c r="F137" s="24">
        <f>IF(OR($B137="",$B$4=""),"",Settings!$B$8*(($B$8&lt;&gt;"")*ISNUMBER(SEARCH($B$8,Mentors!$G121))+($B$9&lt;&gt;"")*ISNUMBER(SEARCH($B$9,Mentors!$G121))+($B$10&lt;&gt;"")*ISNUMBER(SEARCH($B$10,Mentors!$G121))))</f>
        <v/>
      </c>
      <c r="G137" s="24">
        <f>IF(OR($B137="",$B$4=""),"",Settings!$B$9*SUMPRODUCT(ISNUMBER(SEARCH(Settings!$G$4:$G$12,$B$11))*ISNUMBER(SEARCH(Settings!$G$4:$G$12,Mentors!$H121))))</f>
        <v/>
      </c>
      <c r="H137" s="24">
        <f>IF(OR($B137="",$B$4=""),"",Settings!$B$10*SUMPRODUCT(ISNUMBER(SEARCH(Settings!$H$4:$H$7,$B$12))*ISNUMBER(SEARCH(Settings!$H$4:$H$7,Mentors!$I121))))</f>
        <v/>
      </c>
      <c r="I137" s="24">
        <f>IF(OR($B137="",$B$4=""),"",IF(OR($B$13="",$B$13="Either",Mentors!$J121="Either",$B$13=Mentors!$J121),Settings!$B$11,0))</f>
        <v/>
      </c>
      <c r="J137" s="25">
        <f>IF(OR($B137="",$B$4=""),"",SUM(E137:I137))</f>
        <v/>
      </c>
      <c r="K137" s="26">
        <f>IF(J137="",-1,IF(N(D137)&lt;=0,-1,J137+(1000-ROW())/100000))</f>
        <v/>
      </c>
    </row>
    <row r="138">
      <c r="A138" s="24">
        <f>IF(Mentors!$D122="","",Mentors!$A122)</f>
        <v/>
      </c>
      <c r="B138" s="24">
        <f>IF(Mentors!$D122="","",Mentors!$D122)</f>
        <v/>
      </c>
      <c r="C138" s="24">
        <f>IF($B138="","",Mentors!$F122&amp;"")</f>
        <v/>
      </c>
      <c r="D138" s="24">
        <f>IF($B138="","",Mentors!$O122)</f>
        <v/>
      </c>
      <c r="E138" s="24">
        <f>IF(OR($B138="",$B$4=""),"",IF(AND($C138&lt;&gt;"",$C138=$B$7),Settings!$B$7,0))</f>
        <v/>
      </c>
      <c r="F138" s="24">
        <f>IF(OR($B138="",$B$4=""),"",Settings!$B$8*(($B$8&lt;&gt;"")*ISNUMBER(SEARCH($B$8,Mentors!$G122))+($B$9&lt;&gt;"")*ISNUMBER(SEARCH($B$9,Mentors!$G122))+($B$10&lt;&gt;"")*ISNUMBER(SEARCH($B$10,Mentors!$G122))))</f>
        <v/>
      </c>
      <c r="G138" s="24">
        <f>IF(OR($B138="",$B$4=""),"",Settings!$B$9*SUMPRODUCT(ISNUMBER(SEARCH(Settings!$G$4:$G$12,$B$11))*ISNUMBER(SEARCH(Settings!$G$4:$G$12,Mentors!$H122))))</f>
        <v/>
      </c>
      <c r="H138" s="24">
        <f>IF(OR($B138="",$B$4=""),"",Settings!$B$10*SUMPRODUCT(ISNUMBER(SEARCH(Settings!$H$4:$H$7,$B$12))*ISNUMBER(SEARCH(Settings!$H$4:$H$7,Mentors!$I122))))</f>
        <v/>
      </c>
      <c r="I138" s="24">
        <f>IF(OR($B138="",$B$4=""),"",IF(OR($B$13="",$B$13="Either",Mentors!$J122="Either",$B$13=Mentors!$J122),Settings!$B$11,0))</f>
        <v/>
      </c>
      <c r="J138" s="25">
        <f>IF(OR($B138="",$B$4=""),"",SUM(E138:I138))</f>
        <v/>
      </c>
      <c r="K138" s="26">
        <f>IF(J138="",-1,IF(N(D138)&lt;=0,-1,J138+(1000-ROW())/100000))</f>
        <v/>
      </c>
    </row>
    <row r="139">
      <c r="A139" s="24">
        <f>IF(Mentors!$D123="","",Mentors!$A123)</f>
        <v/>
      </c>
      <c r="B139" s="24">
        <f>IF(Mentors!$D123="","",Mentors!$D123)</f>
        <v/>
      </c>
      <c r="C139" s="24">
        <f>IF($B139="","",Mentors!$F123&amp;"")</f>
        <v/>
      </c>
      <c r="D139" s="24">
        <f>IF($B139="","",Mentors!$O123)</f>
        <v/>
      </c>
      <c r="E139" s="24">
        <f>IF(OR($B139="",$B$4=""),"",IF(AND($C139&lt;&gt;"",$C139=$B$7),Settings!$B$7,0))</f>
        <v/>
      </c>
      <c r="F139" s="24">
        <f>IF(OR($B139="",$B$4=""),"",Settings!$B$8*(($B$8&lt;&gt;"")*ISNUMBER(SEARCH($B$8,Mentors!$G123))+($B$9&lt;&gt;"")*ISNUMBER(SEARCH($B$9,Mentors!$G123))+($B$10&lt;&gt;"")*ISNUMBER(SEARCH($B$10,Mentors!$G123))))</f>
        <v/>
      </c>
      <c r="G139" s="24">
        <f>IF(OR($B139="",$B$4=""),"",Settings!$B$9*SUMPRODUCT(ISNUMBER(SEARCH(Settings!$G$4:$G$12,$B$11))*ISNUMBER(SEARCH(Settings!$G$4:$G$12,Mentors!$H123))))</f>
        <v/>
      </c>
      <c r="H139" s="24">
        <f>IF(OR($B139="",$B$4=""),"",Settings!$B$10*SUMPRODUCT(ISNUMBER(SEARCH(Settings!$H$4:$H$7,$B$12))*ISNUMBER(SEARCH(Settings!$H$4:$H$7,Mentors!$I123))))</f>
        <v/>
      </c>
      <c r="I139" s="24">
        <f>IF(OR($B139="",$B$4=""),"",IF(OR($B$13="",$B$13="Either",Mentors!$J123="Either",$B$13=Mentors!$J123),Settings!$B$11,0))</f>
        <v/>
      </c>
      <c r="J139" s="25">
        <f>IF(OR($B139="",$B$4=""),"",SUM(E139:I139))</f>
        <v/>
      </c>
      <c r="K139" s="26">
        <f>IF(J139="",-1,IF(N(D139)&lt;=0,-1,J139+(1000-ROW())/100000))</f>
        <v/>
      </c>
    </row>
    <row r="140">
      <c r="A140" s="24">
        <f>IF(Mentors!$D124="","",Mentors!$A124)</f>
        <v/>
      </c>
      <c r="B140" s="24">
        <f>IF(Mentors!$D124="","",Mentors!$D124)</f>
        <v/>
      </c>
      <c r="C140" s="24">
        <f>IF($B140="","",Mentors!$F124&amp;"")</f>
        <v/>
      </c>
      <c r="D140" s="24">
        <f>IF($B140="","",Mentors!$O124)</f>
        <v/>
      </c>
      <c r="E140" s="24">
        <f>IF(OR($B140="",$B$4=""),"",IF(AND($C140&lt;&gt;"",$C140=$B$7),Settings!$B$7,0))</f>
        <v/>
      </c>
      <c r="F140" s="24">
        <f>IF(OR($B140="",$B$4=""),"",Settings!$B$8*(($B$8&lt;&gt;"")*ISNUMBER(SEARCH($B$8,Mentors!$G124))+($B$9&lt;&gt;"")*ISNUMBER(SEARCH($B$9,Mentors!$G124))+($B$10&lt;&gt;"")*ISNUMBER(SEARCH($B$10,Mentors!$G124))))</f>
        <v/>
      </c>
      <c r="G140" s="24">
        <f>IF(OR($B140="",$B$4=""),"",Settings!$B$9*SUMPRODUCT(ISNUMBER(SEARCH(Settings!$G$4:$G$12,$B$11))*ISNUMBER(SEARCH(Settings!$G$4:$G$12,Mentors!$H124))))</f>
        <v/>
      </c>
      <c r="H140" s="24">
        <f>IF(OR($B140="",$B$4=""),"",Settings!$B$10*SUMPRODUCT(ISNUMBER(SEARCH(Settings!$H$4:$H$7,$B$12))*ISNUMBER(SEARCH(Settings!$H$4:$H$7,Mentors!$I124))))</f>
        <v/>
      </c>
      <c r="I140" s="24">
        <f>IF(OR($B140="",$B$4=""),"",IF(OR($B$13="",$B$13="Either",Mentors!$J124="Either",$B$13=Mentors!$J124),Settings!$B$11,0))</f>
        <v/>
      </c>
      <c r="J140" s="25">
        <f>IF(OR($B140="",$B$4=""),"",SUM(E140:I140))</f>
        <v/>
      </c>
      <c r="K140" s="26">
        <f>IF(J140="",-1,IF(N(D140)&lt;=0,-1,J140+(1000-ROW())/100000))</f>
        <v/>
      </c>
    </row>
    <row r="141">
      <c r="A141" s="24">
        <f>IF(Mentors!$D125="","",Mentors!$A125)</f>
        <v/>
      </c>
      <c r="B141" s="24">
        <f>IF(Mentors!$D125="","",Mentors!$D125)</f>
        <v/>
      </c>
      <c r="C141" s="24">
        <f>IF($B141="","",Mentors!$F125&amp;"")</f>
        <v/>
      </c>
      <c r="D141" s="24">
        <f>IF($B141="","",Mentors!$O125)</f>
        <v/>
      </c>
      <c r="E141" s="24">
        <f>IF(OR($B141="",$B$4=""),"",IF(AND($C141&lt;&gt;"",$C141=$B$7),Settings!$B$7,0))</f>
        <v/>
      </c>
      <c r="F141" s="24">
        <f>IF(OR($B141="",$B$4=""),"",Settings!$B$8*(($B$8&lt;&gt;"")*ISNUMBER(SEARCH($B$8,Mentors!$G125))+($B$9&lt;&gt;"")*ISNUMBER(SEARCH($B$9,Mentors!$G125))+($B$10&lt;&gt;"")*ISNUMBER(SEARCH($B$10,Mentors!$G125))))</f>
        <v/>
      </c>
      <c r="G141" s="24">
        <f>IF(OR($B141="",$B$4=""),"",Settings!$B$9*SUMPRODUCT(ISNUMBER(SEARCH(Settings!$G$4:$G$12,$B$11))*ISNUMBER(SEARCH(Settings!$G$4:$G$12,Mentors!$H125))))</f>
        <v/>
      </c>
      <c r="H141" s="24">
        <f>IF(OR($B141="",$B$4=""),"",Settings!$B$10*SUMPRODUCT(ISNUMBER(SEARCH(Settings!$H$4:$H$7,$B$12))*ISNUMBER(SEARCH(Settings!$H$4:$H$7,Mentors!$I125))))</f>
        <v/>
      </c>
      <c r="I141" s="24">
        <f>IF(OR($B141="",$B$4=""),"",IF(OR($B$13="",$B$13="Either",Mentors!$J125="Either",$B$13=Mentors!$J125),Settings!$B$11,0))</f>
        <v/>
      </c>
      <c r="J141" s="25">
        <f>IF(OR($B141="",$B$4=""),"",SUM(E141:I141))</f>
        <v/>
      </c>
      <c r="K141" s="26">
        <f>IF(J141="",-1,IF(N(D141)&lt;=0,-1,J141+(1000-ROW())/100000))</f>
        <v/>
      </c>
    </row>
    <row r="142">
      <c r="A142" s="24">
        <f>IF(Mentors!$D126="","",Mentors!$A126)</f>
        <v/>
      </c>
      <c r="B142" s="24">
        <f>IF(Mentors!$D126="","",Mentors!$D126)</f>
        <v/>
      </c>
      <c r="C142" s="24">
        <f>IF($B142="","",Mentors!$F126&amp;"")</f>
        <v/>
      </c>
      <c r="D142" s="24">
        <f>IF($B142="","",Mentors!$O126)</f>
        <v/>
      </c>
      <c r="E142" s="24">
        <f>IF(OR($B142="",$B$4=""),"",IF(AND($C142&lt;&gt;"",$C142=$B$7),Settings!$B$7,0))</f>
        <v/>
      </c>
      <c r="F142" s="24">
        <f>IF(OR($B142="",$B$4=""),"",Settings!$B$8*(($B$8&lt;&gt;"")*ISNUMBER(SEARCH($B$8,Mentors!$G126))+($B$9&lt;&gt;"")*ISNUMBER(SEARCH($B$9,Mentors!$G126))+($B$10&lt;&gt;"")*ISNUMBER(SEARCH($B$10,Mentors!$G126))))</f>
        <v/>
      </c>
      <c r="G142" s="24">
        <f>IF(OR($B142="",$B$4=""),"",Settings!$B$9*SUMPRODUCT(ISNUMBER(SEARCH(Settings!$G$4:$G$12,$B$11))*ISNUMBER(SEARCH(Settings!$G$4:$G$12,Mentors!$H126))))</f>
        <v/>
      </c>
      <c r="H142" s="24">
        <f>IF(OR($B142="",$B$4=""),"",Settings!$B$10*SUMPRODUCT(ISNUMBER(SEARCH(Settings!$H$4:$H$7,$B$12))*ISNUMBER(SEARCH(Settings!$H$4:$H$7,Mentors!$I126))))</f>
        <v/>
      </c>
      <c r="I142" s="24">
        <f>IF(OR($B142="",$B$4=""),"",IF(OR($B$13="",$B$13="Either",Mentors!$J126="Either",$B$13=Mentors!$J126),Settings!$B$11,0))</f>
        <v/>
      </c>
      <c r="J142" s="25">
        <f>IF(OR($B142="",$B$4=""),"",SUM(E142:I142))</f>
        <v/>
      </c>
      <c r="K142" s="26">
        <f>IF(J142="",-1,IF(N(D142)&lt;=0,-1,J142+(1000-ROW())/100000))</f>
        <v/>
      </c>
    </row>
    <row r="143">
      <c r="A143" s="24">
        <f>IF(Mentors!$D127="","",Mentors!$A127)</f>
        <v/>
      </c>
      <c r="B143" s="24">
        <f>IF(Mentors!$D127="","",Mentors!$D127)</f>
        <v/>
      </c>
      <c r="C143" s="24">
        <f>IF($B143="","",Mentors!$F127&amp;"")</f>
        <v/>
      </c>
      <c r="D143" s="24">
        <f>IF($B143="","",Mentors!$O127)</f>
        <v/>
      </c>
      <c r="E143" s="24">
        <f>IF(OR($B143="",$B$4=""),"",IF(AND($C143&lt;&gt;"",$C143=$B$7),Settings!$B$7,0))</f>
        <v/>
      </c>
      <c r="F143" s="24">
        <f>IF(OR($B143="",$B$4=""),"",Settings!$B$8*(($B$8&lt;&gt;"")*ISNUMBER(SEARCH($B$8,Mentors!$G127))+($B$9&lt;&gt;"")*ISNUMBER(SEARCH($B$9,Mentors!$G127))+($B$10&lt;&gt;"")*ISNUMBER(SEARCH($B$10,Mentors!$G127))))</f>
        <v/>
      </c>
      <c r="G143" s="24">
        <f>IF(OR($B143="",$B$4=""),"",Settings!$B$9*SUMPRODUCT(ISNUMBER(SEARCH(Settings!$G$4:$G$12,$B$11))*ISNUMBER(SEARCH(Settings!$G$4:$G$12,Mentors!$H127))))</f>
        <v/>
      </c>
      <c r="H143" s="24">
        <f>IF(OR($B143="",$B$4=""),"",Settings!$B$10*SUMPRODUCT(ISNUMBER(SEARCH(Settings!$H$4:$H$7,$B$12))*ISNUMBER(SEARCH(Settings!$H$4:$H$7,Mentors!$I127))))</f>
        <v/>
      </c>
      <c r="I143" s="24">
        <f>IF(OR($B143="",$B$4=""),"",IF(OR($B$13="",$B$13="Either",Mentors!$J127="Either",$B$13=Mentors!$J127),Settings!$B$11,0))</f>
        <v/>
      </c>
      <c r="J143" s="25">
        <f>IF(OR($B143="",$B$4=""),"",SUM(E143:I143))</f>
        <v/>
      </c>
      <c r="K143" s="26">
        <f>IF(J143="",-1,IF(N(D143)&lt;=0,-1,J143+(1000-ROW())/100000))</f>
        <v/>
      </c>
    </row>
    <row r="144">
      <c r="A144" s="24">
        <f>IF(Mentors!$D128="","",Mentors!$A128)</f>
        <v/>
      </c>
      <c r="B144" s="24">
        <f>IF(Mentors!$D128="","",Mentors!$D128)</f>
        <v/>
      </c>
      <c r="C144" s="24">
        <f>IF($B144="","",Mentors!$F128&amp;"")</f>
        <v/>
      </c>
      <c r="D144" s="24">
        <f>IF($B144="","",Mentors!$O128)</f>
        <v/>
      </c>
      <c r="E144" s="24">
        <f>IF(OR($B144="",$B$4=""),"",IF(AND($C144&lt;&gt;"",$C144=$B$7),Settings!$B$7,0))</f>
        <v/>
      </c>
      <c r="F144" s="24">
        <f>IF(OR($B144="",$B$4=""),"",Settings!$B$8*(($B$8&lt;&gt;"")*ISNUMBER(SEARCH($B$8,Mentors!$G128))+($B$9&lt;&gt;"")*ISNUMBER(SEARCH($B$9,Mentors!$G128))+($B$10&lt;&gt;"")*ISNUMBER(SEARCH($B$10,Mentors!$G128))))</f>
        <v/>
      </c>
      <c r="G144" s="24">
        <f>IF(OR($B144="",$B$4=""),"",Settings!$B$9*SUMPRODUCT(ISNUMBER(SEARCH(Settings!$G$4:$G$12,$B$11))*ISNUMBER(SEARCH(Settings!$G$4:$G$12,Mentors!$H128))))</f>
        <v/>
      </c>
      <c r="H144" s="24">
        <f>IF(OR($B144="",$B$4=""),"",Settings!$B$10*SUMPRODUCT(ISNUMBER(SEARCH(Settings!$H$4:$H$7,$B$12))*ISNUMBER(SEARCH(Settings!$H$4:$H$7,Mentors!$I128))))</f>
        <v/>
      </c>
      <c r="I144" s="24">
        <f>IF(OR($B144="",$B$4=""),"",IF(OR($B$13="",$B$13="Either",Mentors!$J128="Either",$B$13=Mentors!$J128),Settings!$B$11,0))</f>
        <v/>
      </c>
      <c r="J144" s="25">
        <f>IF(OR($B144="",$B$4=""),"",SUM(E144:I144))</f>
        <v/>
      </c>
      <c r="K144" s="26">
        <f>IF(J144="",-1,IF(N(D144)&lt;=0,-1,J144+(1000-ROW())/100000))</f>
        <v/>
      </c>
    </row>
    <row r="145">
      <c r="A145" s="24">
        <f>IF(Mentors!$D129="","",Mentors!$A129)</f>
        <v/>
      </c>
      <c r="B145" s="24">
        <f>IF(Mentors!$D129="","",Mentors!$D129)</f>
        <v/>
      </c>
      <c r="C145" s="24">
        <f>IF($B145="","",Mentors!$F129&amp;"")</f>
        <v/>
      </c>
      <c r="D145" s="24">
        <f>IF($B145="","",Mentors!$O129)</f>
        <v/>
      </c>
      <c r="E145" s="24">
        <f>IF(OR($B145="",$B$4=""),"",IF(AND($C145&lt;&gt;"",$C145=$B$7),Settings!$B$7,0))</f>
        <v/>
      </c>
      <c r="F145" s="24">
        <f>IF(OR($B145="",$B$4=""),"",Settings!$B$8*(($B$8&lt;&gt;"")*ISNUMBER(SEARCH($B$8,Mentors!$G129))+($B$9&lt;&gt;"")*ISNUMBER(SEARCH($B$9,Mentors!$G129))+($B$10&lt;&gt;"")*ISNUMBER(SEARCH($B$10,Mentors!$G129))))</f>
        <v/>
      </c>
      <c r="G145" s="24">
        <f>IF(OR($B145="",$B$4=""),"",Settings!$B$9*SUMPRODUCT(ISNUMBER(SEARCH(Settings!$G$4:$G$12,$B$11))*ISNUMBER(SEARCH(Settings!$G$4:$G$12,Mentors!$H129))))</f>
        <v/>
      </c>
      <c r="H145" s="24">
        <f>IF(OR($B145="",$B$4=""),"",Settings!$B$10*SUMPRODUCT(ISNUMBER(SEARCH(Settings!$H$4:$H$7,$B$12))*ISNUMBER(SEARCH(Settings!$H$4:$H$7,Mentors!$I129))))</f>
        <v/>
      </c>
      <c r="I145" s="24">
        <f>IF(OR($B145="",$B$4=""),"",IF(OR($B$13="",$B$13="Either",Mentors!$J129="Either",$B$13=Mentors!$J129),Settings!$B$11,0))</f>
        <v/>
      </c>
      <c r="J145" s="25">
        <f>IF(OR($B145="",$B$4=""),"",SUM(E145:I145))</f>
        <v/>
      </c>
      <c r="K145" s="26">
        <f>IF(J145="",-1,IF(N(D145)&lt;=0,-1,J145+(1000-ROW())/100000))</f>
        <v/>
      </c>
    </row>
    <row r="146">
      <c r="A146" s="24">
        <f>IF(Mentors!$D130="","",Mentors!$A130)</f>
        <v/>
      </c>
      <c r="B146" s="24">
        <f>IF(Mentors!$D130="","",Mentors!$D130)</f>
        <v/>
      </c>
      <c r="C146" s="24">
        <f>IF($B146="","",Mentors!$F130&amp;"")</f>
        <v/>
      </c>
      <c r="D146" s="24">
        <f>IF($B146="","",Mentors!$O130)</f>
        <v/>
      </c>
      <c r="E146" s="24">
        <f>IF(OR($B146="",$B$4=""),"",IF(AND($C146&lt;&gt;"",$C146=$B$7),Settings!$B$7,0))</f>
        <v/>
      </c>
      <c r="F146" s="24">
        <f>IF(OR($B146="",$B$4=""),"",Settings!$B$8*(($B$8&lt;&gt;"")*ISNUMBER(SEARCH($B$8,Mentors!$G130))+($B$9&lt;&gt;"")*ISNUMBER(SEARCH($B$9,Mentors!$G130))+($B$10&lt;&gt;"")*ISNUMBER(SEARCH($B$10,Mentors!$G130))))</f>
        <v/>
      </c>
      <c r="G146" s="24">
        <f>IF(OR($B146="",$B$4=""),"",Settings!$B$9*SUMPRODUCT(ISNUMBER(SEARCH(Settings!$G$4:$G$12,$B$11))*ISNUMBER(SEARCH(Settings!$G$4:$G$12,Mentors!$H130))))</f>
        <v/>
      </c>
      <c r="H146" s="24">
        <f>IF(OR($B146="",$B$4=""),"",Settings!$B$10*SUMPRODUCT(ISNUMBER(SEARCH(Settings!$H$4:$H$7,$B$12))*ISNUMBER(SEARCH(Settings!$H$4:$H$7,Mentors!$I130))))</f>
        <v/>
      </c>
      <c r="I146" s="24">
        <f>IF(OR($B146="",$B$4=""),"",IF(OR($B$13="",$B$13="Either",Mentors!$J130="Either",$B$13=Mentors!$J130),Settings!$B$11,0))</f>
        <v/>
      </c>
      <c r="J146" s="25">
        <f>IF(OR($B146="",$B$4=""),"",SUM(E146:I146))</f>
        <v/>
      </c>
      <c r="K146" s="26">
        <f>IF(J146="",-1,IF(N(D146)&lt;=0,-1,J146+(1000-ROW())/100000))</f>
        <v/>
      </c>
    </row>
    <row r="147">
      <c r="A147" s="24">
        <f>IF(Mentors!$D131="","",Mentors!$A131)</f>
        <v/>
      </c>
      <c r="B147" s="24">
        <f>IF(Mentors!$D131="","",Mentors!$D131)</f>
        <v/>
      </c>
      <c r="C147" s="24">
        <f>IF($B147="","",Mentors!$F131&amp;"")</f>
        <v/>
      </c>
      <c r="D147" s="24">
        <f>IF($B147="","",Mentors!$O131)</f>
        <v/>
      </c>
      <c r="E147" s="24">
        <f>IF(OR($B147="",$B$4=""),"",IF(AND($C147&lt;&gt;"",$C147=$B$7),Settings!$B$7,0))</f>
        <v/>
      </c>
      <c r="F147" s="24">
        <f>IF(OR($B147="",$B$4=""),"",Settings!$B$8*(($B$8&lt;&gt;"")*ISNUMBER(SEARCH($B$8,Mentors!$G131))+($B$9&lt;&gt;"")*ISNUMBER(SEARCH($B$9,Mentors!$G131))+($B$10&lt;&gt;"")*ISNUMBER(SEARCH($B$10,Mentors!$G131))))</f>
        <v/>
      </c>
      <c r="G147" s="24">
        <f>IF(OR($B147="",$B$4=""),"",Settings!$B$9*SUMPRODUCT(ISNUMBER(SEARCH(Settings!$G$4:$G$12,$B$11))*ISNUMBER(SEARCH(Settings!$G$4:$G$12,Mentors!$H131))))</f>
        <v/>
      </c>
      <c r="H147" s="24">
        <f>IF(OR($B147="",$B$4=""),"",Settings!$B$10*SUMPRODUCT(ISNUMBER(SEARCH(Settings!$H$4:$H$7,$B$12))*ISNUMBER(SEARCH(Settings!$H$4:$H$7,Mentors!$I131))))</f>
        <v/>
      </c>
      <c r="I147" s="24">
        <f>IF(OR($B147="",$B$4=""),"",IF(OR($B$13="",$B$13="Either",Mentors!$J131="Either",$B$13=Mentors!$J131),Settings!$B$11,0))</f>
        <v/>
      </c>
      <c r="J147" s="25">
        <f>IF(OR($B147="",$B$4=""),"",SUM(E147:I147))</f>
        <v/>
      </c>
      <c r="K147" s="26">
        <f>IF(J147="",-1,IF(N(D147)&lt;=0,-1,J147+(1000-ROW())/100000))</f>
        <v/>
      </c>
    </row>
    <row r="148">
      <c r="A148" s="24">
        <f>IF(Mentors!$D132="","",Mentors!$A132)</f>
        <v/>
      </c>
      <c r="B148" s="24">
        <f>IF(Mentors!$D132="","",Mentors!$D132)</f>
        <v/>
      </c>
      <c r="C148" s="24">
        <f>IF($B148="","",Mentors!$F132&amp;"")</f>
        <v/>
      </c>
      <c r="D148" s="24">
        <f>IF($B148="","",Mentors!$O132)</f>
        <v/>
      </c>
      <c r="E148" s="24">
        <f>IF(OR($B148="",$B$4=""),"",IF(AND($C148&lt;&gt;"",$C148=$B$7),Settings!$B$7,0))</f>
        <v/>
      </c>
      <c r="F148" s="24">
        <f>IF(OR($B148="",$B$4=""),"",Settings!$B$8*(($B$8&lt;&gt;"")*ISNUMBER(SEARCH($B$8,Mentors!$G132))+($B$9&lt;&gt;"")*ISNUMBER(SEARCH($B$9,Mentors!$G132))+($B$10&lt;&gt;"")*ISNUMBER(SEARCH($B$10,Mentors!$G132))))</f>
        <v/>
      </c>
      <c r="G148" s="24">
        <f>IF(OR($B148="",$B$4=""),"",Settings!$B$9*SUMPRODUCT(ISNUMBER(SEARCH(Settings!$G$4:$G$12,$B$11))*ISNUMBER(SEARCH(Settings!$G$4:$G$12,Mentors!$H132))))</f>
        <v/>
      </c>
      <c r="H148" s="24">
        <f>IF(OR($B148="",$B$4=""),"",Settings!$B$10*SUMPRODUCT(ISNUMBER(SEARCH(Settings!$H$4:$H$7,$B$12))*ISNUMBER(SEARCH(Settings!$H$4:$H$7,Mentors!$I132))))</f>
        <v/>
      </c>
      <c r="I148" s="24">
        <f>IF(OR($B148="",$B$4=""),"",IF(OR($B$13="",$B$13="Either",Mentors!$J132="Either",$B$13=Mentors!$J132),Settings!$B$11,0))</f>
        <v/>
      </c>
      <c r="J148" s="25">
        <f>IF(OR($B148="",$B$4=""),"",SUM(E148:I148))</f>
        <v/>
      </c>
      <c r="K148" s="26">
        <f>IF(J148="",-1,IF(N(D148)&lt;=0,-1,J148+(1000-ROW())/100000))</f>
        <v/>
      </c>
    </row>
    <row r="149">
      <c r="A149" s="24">
        <f>IF(Mentors!$D133="","",Mentors!$A133)</f>
        <v/>
      </c>
      <c r="B149" s="24">
        <f>IF(Mentors!$D133="","",Mentors!$D133)</f>
        <v/>
      </c>
      <c r="C149" s="24">
        <f>IF($B149="","",Mentors!$F133&amp;"")</f>
        <v/>
      </c>
      <c r="D149" s="24">
        <f>IF($B149="","",Mentors!$O133)</f>
        <v/>
      </c>
      <c r="E149" s="24">
        <f>IF(OR($B149="",$B$4=""),"",IF(AND($C149&lt;&gt;"",$C149=$B$7),Settings!$B$7,0))</f>
        <v/>
      </c>
      <c r="F149" s="24">
        <f>IF(OR($B149="",$B$4=""),"",Settings!$B$8*(($B$8&lt;&gt;"")*ISNUMBER(SEARCH($B$8,Mentors!$G133))+($B$9&lt;&gt;"")*ISNUMBER(SEARCH($B$9,Mentors!$G133))+($B$10&lt;&gt;"")*ISNUMBER(SEARCH($B$10,Mentors!$G133))))</f>
        <v/>
      </c>
      <c r="G149" s="24">
        <f>IF(OR($B149="",$B$4=""),"",Settings!$B$9*SUMPRODUCT(ISNUMBER(SEARCH(Settings!$G$4:$G$12,$B$11))*ISNUMBER(SEARCH(Settings!$G$4:$G$12,Mentors!$H133))))</f>
        <v/>
      </c>
      <c r="H149" s="24">
        <f>IF(OR($B149="",$B$4=""),"",Settings!$B$10*SUMPRODUCT(ISNUMBER(SEARCH(Settings!$H$4:$H$7,$B$12))*ISNUMBER(SEARCH(Settings!$H$4:$H$7,Mentors!$I133))))</f>
        <v/>
      </c>
      <c r="I149" s="24">
        <f>IF(OR($B149="",$B$4=""),"",IF(OR($B$13="",$B$13="Either",Mentors!$J133="Either",$B$13=Mentors!$J133),Settings!$B$11,0))</f>
        <v/>
      </c>
      <c r="J149" s="25">
        <f>IF(OR($B149="",$B$4=""),"",SUM(E149:I149))</f>
        <v/>
      </c>
      <c r="K149" s="26">
        <f>IF(J149="",-1,IF(N(D149)&lt;=0,-1,J149+(1000-ROW())/100000))</f>
        <v/>
      </c>
    </row>
    <row r="150">
      <c r="A150" s="24">
        <f>IF(Mentors!$D134="","",Mentors!$A134)</f>
        <v/>
      </c>
      <c r="B150" s="24">
        <f>IF(Mentors!$D134="","",Mentors!$D134)</f>
        <v/>
      </c>
      <c r="C150" s="24">
        <f>IF($B150="","",Mentors!$F134&amp;"")</f>
        <v/>
      </c>
      <c r="D150" s="24">
        <f>IF($B150="","",Mentors!$O134)</f>
        <v/>
      </c>
      <c r="E150" s="24">
        <f>IF(OR($B150="",$B$4=""),"",IF(AND($C150&lt;&gt;"",$C150=$B$7),Settings!$B$7,0))</f>
        <v/>
      </c>
      <c r="F150" s="24">
        <f>IF(OR($B150="",$B$4=""),"",Settings!$B$8*(($B$8&lt;&gt;"")*ISNUMBER(SEARCH($B$8,Mentors!$G134))+($B$9&lt;&gt;"")*ISNUMBER(SEARCH($B$9,Mentors!$G134))+($B$10&lt;&gt;"")*ISNUMBER(SEARCH($B$10,Mentors!$G134))))</f>
        <v/>
      </c>
      <c r="G150" s="24">
        <f>IF(OR($B150="",$B$4=""),"",Settings!$B$9*SUMPRODUCT(ISNUMBER(SEARCH(Settings!$G$4:$G$12,$B$11))*ISNUMBER(SEARCH(Settings!$G$4:$G$12,Mentors!$H134))))</f>
        <v/>
      </c>
      <c r="H150" s="24">
        <f>IF(OR($B150="",$B$4=""),"",Settings!$B$10*SUMPRODUCT(ISNUMBER(SEARCH(Settings!$H$4:$H$7,$B$12))*ISNUMBER(SEARCH(Settings!$H$4:$H$7,Mentors!$I134))))</f>
        <v/>
      </c>
      <c r="I150" s="24">
        <f>IF(OR($B150="",$B$4=""),"",IF(OR($B$13="",$B$13="Either",Mentors!$J134="Either",$B$13=Mentors!$J134),Settings!$B$11,0))</f>
        <v/>
      </c>
      <c r="J150" s="25">
        <f>IF(OR($B150="",$B$4=""),"",SUM(E150:I150))</f>
        <v/>
      </c>
      <c r="K150" s="26">
        <f>IF(J150="",-1,IF(N(D150)&lt;=0,-1,J150+(1000-ROW())/100000))</f>
        <v/>
      </c>
    </row>
    <row r="151">
      <c r="A151" s="24">
        <f>IF(Mentors!$D135="","",Mentors!$A135)</f>
        <v/>
      </c>
      <c r="B151" s="24">
        <f>IF(Mentors!$D135="","",Mentors!$D135)</f>
        <v/>
      </c>
      <c r="C151" s="24">
        <f>IF($B151="","",Mentors!$F135&amp;"")</f>
        <v/>
      </c>
      <c r="D151" s="24">
        <f>IF($B151="","",Mentors!$O135)</f>
        <v/>
      </c>
      <c r="E151" s="24">
        <f>IF(OR($B151="",$B$4=""),"",IF(AND($C151&lt;&gt;"",$C151=$B$7),Settings!$B$7,0))</f>
        <v/>
      </c>
      <c r="F151" s="24">
        <f>IF(OR($B151="",$B$4=""),"",Settings!$B$8*(($B$8&lt;&gt;"")*ISNUMBER(SEARCH($B$8,Mentors!$G135))+($B$9&lt;&gt;"")*ISNUMBER(SEARCH($B$9,Mentors!$G135))+($B$10&lt;&gt;"")*ISNUMBER(SEARCH($B$10,Mentors!$G135))))</f>
        <v/>
      </c>
      <c r="G151" s="24">
        <f>IF(OR($B151="",$B$4=""),"",Settings!$B$9*SUMPRODUCT(ISNUMBER(SEARCH(Settings!$G$4:$G$12,$B$11))*ISNUMBER(SEARCH(Settings!$G$4:$G$12,Mentors!$H135))))</f>
        <v/>
      </c>
      <c r="H151" s="24">
        <f>IF(OR($B151="",$B$4=""),"",Settings!$B$10*SUMPRODUCT(ISNUMBER(SEARCH(Settings!$H$4:$H$7,$B$12))*ISNUMBER(SEARCH(Settings!$H$4:$H$7,Mentors!$I135))))</f>
        <v/>
      </c>
      <c r="I151" s="24">
        <f>IF(OR($B151="",$B$4=""),"",IF(OR($B$13="",$B$13="Either",Mentors!$J135="Either",$B$13=Mentors!$J135),Settings!$B$11,0))</f>
        <v/>
      </c>
      <c r="J151" s="25">
        <f>IF(OR($B151="",$B$4=""),"",SUM(E151:I151))</f>
        <v/>
      </c>
      <c r="K151" s="26">
        <f>IF(J151="",-1,IF(N(D151)&lt;=0,-1,J151+(1000-ROW())/100000))</f>
        <v/>
      </c>
    </row>
    <row r="152">
      <c r="A152" s="24">
        <f>IF(Mentors!$D136="","",Mentors!$A136)</f>
        <v/>
      </c>
      <c r="B152" s="24">
        <f>IF(Mentors!$D136="","",Mentors!$D136)</f>
        <v/>
      </c>
      <c r="C152" s="24">
        <f>IF($B152="","",Mentors!$F136&amp;"")</f>
        <v/>
      </c>
      <c r="D152" s="24">
        <f>IF($B152="","",Mentors!$O136)</f>
        <v/>
      </c>
      <c r="E152" s="24">
        <f>IF(OR($B152="",$B$4=""),"",IF(AND($C152&lt;&gt;"",$C152=$B$7),Settings!$B$7,0))</f>
        <v/>
      </c>
      <c r="F152" s="24">
        <f>IF(OR($B152="",$B$4=""),"",Settings!$B$8*(($B$8&lt;&gt;"")*ISNUMBER(SEARCH($B$8,Mentors!$G136))+($B$9&lt;&gt;"")*ISNUMBER(SEARCH($B$9,Mentors!$G136))+($B$10&lt;&gt;"")*ISNUMBER(SEARCH($B$10,Mentors!$G136))))</f>
        <v/>
      </c>
      <c r="G152" s="24">
        <f>IF(OR($B152="",$B$4=""),"",Settings!$B$9*SUMPRODUCT(ISNUMBER(SEARCH(Settings!$G$4:$G$12,$B$11))*ISNUMBER(SEARCH(Settings!$G$4:$G$12,Mentors!$H136))))</f>
        <v/>
      </c>
      <c r="H152" s="24">
        <f>IF(OR($B152="",$B$4=""),"",Settings!$B$10*SUMPRODUCT(ISNUMBER(SEARCH(Settings!$H$4:$H$7,$B$12))*ISNUMBER(SEARCH(Settings!$H$4:$H$7,Mentors!$I136))))</f>
        <v/>
      </c>
      <c r="I152" s="24">
        <f>IF(OR($B152="",$B$4=""),"",IF(OR($B$13="",$B$13="Either",Mentors!$J136="Either",$B$13=Mentors!$J136),Settings!$B$11,0))</f>
        <v/>
      </c>
      <c r="J152" s="25">
        <f>IF(OR($B152="",$B$4=""),"",SUM(E152:I152))</f>
        <v/>
      </c>
      <c r="K152" s="26">
        <f>IF(J152="",-1,IF(N(D152)&lt;=0,-1,J152+(1000-ROW())/100000))</f>
        <v/>
      </c>
    </row>
    <row r="153">
      <c r="A153" s="24">
        <f>IF(Mentors!$D137="","",Mentors!$A137)</f>
        <v/>
      </c>
      <c r="B153" s="24">
        <f>IF(Mentors!$D137="","",Mentors!$D137)</f>
        <v/>
      </c>
      <c r="C153" s="24">
        <f>IF($B153="","",Mentors!$F137&amp;"")</f>
        <v/>
      </c>
      <c r="D153" s="24">
        <f>IF($B153="","",Mentors!$O137)</f>
        <v/>
      </c>
      <c r="E153" s="24">
        <f>IF(OR($B153="",$B$4=""),"",IF(AND($C153&lt;&gt;"",$C153=$B$7),Settings!$B$7,0))</f>
        <v/>
      </c>
      <c r="F153" s="24">
        <f>IF(OR($B153="",$B$4=""),"",Settings!$B$8*(($B$8&lt;&gt;"")*ISNUMBER(SEARCH($B$8,Mentors!$G137))+($B$9&lt;&gt;"")*ISNUMBER(SEARCH($B$9,Mentors!$G137))+($B$10&lt;&gt;"")*ISNUMBER(SEARCH($B$10,Mentors!$G137))))</f>
        <v/>
      </c>
      <c r="G153" s="24">
        <f>IF(OR($B153="",$B$4=""),"",Settings!$B$9*SUMPRODUCT(ISNUMBER(SEARCH(Settings!$G$4:$G$12,$B$11))*ISNUMBER(SEARCH(Settings!$G$4:$G$12,Mentors!$H137))))</f>
        <v/>
      </c>
      <c r="H153" s="24">
        <f>IF(OR($B153="",$B$4=""),"",Settings!$B$10*SUMPRODUCT(ISNUMBER(SEARCH(Settings!$H$4:$H$7,$B$12))*ISNUMBER(SEARCH(Settings!$H$4:$H$7,Mentors!$I137))))</f>
        <v/>
      </c>
      <c r="I153" s="24">
        <f>IF(OR($B153="",$B$4=""),"",IF(OR($B$13="",$B$13="Either",Mentors!$J137="Either",$B$13=Mentors!$J137),Settings!$B$11,0))</f>
        <v/>
      </c>
      <c r="J153" s="25">
        <f>IF(OR($B153="",$B$4=""),"",SUM(E153:I153))</f>
        <v/>
      </c>
      <c r="K153" s="26">
        <f>IF(J153="",-1,IF(N(D153)&lt;=0,-1,J153+(1000-ROW())/100000))</f>
        <v/>
      </c>
    </row>
    <row r="154">
      <c r="A154" s="24">
        <f>IF(Mentors!$D138="","",Mentors!$A138)</f>
        <v/>
      </c>
      <c r="B154" s="24">
        <f>IF(Mentors!$D138="","",Mentors!$D138)</f>
        <v/>
      </c>
      <c r="C154" s="24">
        <f>IF($B154="","",Mentors!$F138&amp;"")</f>
        <v/>
      </c>
      <c r="D154" s="24">
        <f>IF($B154="","",Mentors!$O138)</f>
        <v/>
      </c>
      <c r="E154" s="24">
        <f>IF(OR($B154="",$B$4=""),"",IF(AND($C154&lt;&gt;"",$C154=$B$7),Settings!$B$7,0))</f>
        <v/>
      </c>
      <c r="F154" s="24">
        <f>IF(OR($B154="",$B$4=""),"",Settings!$B$8*(($B$8&lt;&gt;"")*ISNUMBER(SEARCH($B$8,Mentors!$G138))+($B$9&lt;&gt;"")*ISNUMBER(SEARCH($B$9,Mentors!$G138))+($B$10&lt;&gt;"")*ISNUMBER(SEARCH($B$10,Mentors!$G138))))</f>
        <v/>
      </c>
      <c r="G154" s="24">
        <f>IF(OR($B154="",$B$4=""),"",Settings!$B$9*SUMPRODUCT(ISNUMBER(SEARCH(Settings!$G$4:$G$12,$B$11))*ISNUMBER(SEARCH(Settings!$G$4:$G$12,Mentors!$H138))))</f>
        <v/>
      </c>
      <c r="H154" s="24">
        <f>IF(OR($B154="",$B$4=""),"",Settings!$B$10*SUMPRODUCT(ISNUMBER(SEARCH(Settings!$H$4:$H$7,$B$12))*ISNUMBER(SEARCH(Settings!$H$4:$H$7,Mentors!$I138))))</f>
        <v/>
      </c>
      <c r="I154" s="24">
        <f>IF(OR($B154="",$B$4=""),"",IF(OR($B$13="",$B$13="Either",Mentors!$J138="Either",$B$13=Mentors!$J138),Settings!$B$11,0))</f>
        <v/>
      </c>
      <c r="J154" s="25">
        <f>IF(OR($B154="",$B$4=""),"",SUM(E154:I154))</f>
        <v/>
      </c>
      <c r="K154" s="26">
        <f>IF(J154="",-1,IF(N(D154)&lt;=0,-1,J154+(1000-ROW())/100000))</f>
        <v/>
      </c>
    </row>
    <row r="155">
      <c r="A155" s="24">
        <f>IF(Mentors!$D139="","",Mentors!$A139)</f>
        <v/>
      </c>
      <c r="B155" s="24">
        <f>IF(Mentors!$D139="","",Mentors!$D139)</f>
        <v/>
      </c>
      <c r="C155" s="24">
        <f>IF($B155="","",Mentors!$F139&amp;"")</f>
        <v/>
      </c>
      <c r="D155" s="24">
        <f>IF($B155="","",Mentors!$O139)</f>
        <v/>
      </c>
      <c r="E155" s="24">
        <f>IF(OR($B155="",$B$4=""),"",IF(AND($C155&lt;&gt;"",$C155=$B$7),Settings!$B$7,0))</f>
        <v/>
      </c>
      <c r="F155" s="24">
        <f>IF(OR($B155="",$B$4=""),"",Settings!$B$8*(($B$8&lt;&gt;"")*ISNUMBER(SEARCH($B$8,Mentors!$G139))+($B$9&lt;&gt;"")*ISNUMBER(SEARCH($B$9,Mentors!$G139))+($B$10&lt;&gt;"")*ISNUMBER(SEARCH($B$10,Mentors!$G139))))</f>
        <v/>
      </c>
      <c r="G155" s="24">
        <f>IF(OR($B155="",$B$4=""),"",Settings!$B$9*SUMPRODUCT(ISNUMBER(SEARCH(Settings!$G$4:$G$12,$B$11))*ISNUMBER(SEARCH(Settings!$G$4:$G$12,Mentors!$H139))))</f>
        <v/>
      </c>
      <c r="H155" s="24">
        <f>IF(OR($B155="",$B$4=""),"",Settings!$B$10*SUMPRODUCT(ISNUMBER(SEARCH(Settings!$H$4:$H$7,$B$12))*ISNUMBER(SEARCH(Settings!$H$4:$H$7,Mentors!$I139))))</f>
        <v/>
      </c>
      <c r="I155" s="24">
        <f>IF(OR($B155="",$B$4=""),"",IF(OR($B$13="",$B$13="Either",Mentors!$J139="Either",$B$13=Mentors!$J139),Settings!$B$11,0))</f>
        <v/>
      </c>
      <c r="J155" s="25">
        <f>IF(OR($B155="",$B$4=""),"",SUM(E155:I155))</f>
        <v/>
      </c>
      <c r="K155" s="26">
        <f>IF(J155="",-1,IF(N(D155)&lt;=0,-1,J155+(1000-ROW())/100000))</f>
        <v/>
      </c>
    </row>
    <row r="156">
      <c r="A156" s="24">
        <f>IF(Mentors!$D140="","",Mentors!$A140)</f>
        <v/>
      </c>
      <c r="B156" s="24">
        <f>IF(Mentors!$D140="","",Mentors!$D140)</f>
        <v/>
      </c>
      <c r="C156" s="24">
        <f>IF($B156="","",Mentors!$F140&amp;"")</f>
        <v/>
      </c>
      <c r="D156" s="24">
        <f>IF($B156="","",Mentors!$O140)</f>
        <v/>
      </c>
      <c r="E156" s="24">
        <f>IF(OR($B156="",$B$4=""),"",IF(AND($C156&lt;&gt;"",$C156=$B$7),Settings!$B$7,0))</f>
        <v/>
      </c>
      <c r="F156" s="24">
        <f>IF(OR($B156="",$B$4=""),"",Settings!$B$8*(($B$8&lt;&gt;"")*ISNUMBER(SEARCH($B$8,Mentors!$G140))+($B$9&lt;&gt;"")*ISNUMBER(SEARCH($B$9,Mentors!$G140))+($B$10&lt;&gt;"")*ISNUMBER(SEARCH($B$10,Mentors!$G140))))</f>
        <v/>
      </c>
      <c r="G156" s="24">
        <f>IF(OR($B156="",$B$4=""),"",Settings!$B$9*SUMPRODUCT(ISNUMBER(SEARCH(Settings!$G$4:$G$12,$B$11))*ISNUMBER(SEARCH(Settings!$G$4:$G$12,Mentors!$H140))))</f>
        <v/>
      </c>
      <c r="H156" s="24">
        <f>IF(OR($B156="",$B$4=""),"",Settings!$B$10*SUMPRODUCT(ISNUMBER(SEARCH(Settings!$H$4:$H$7,$B$12))*ISNUMBER(SEARCH(Settings!$H$4:$H$7,Mentors!$I140))))</f>
        <v/>
      </c>
      <c r="I156" s="24">
        <f>IF(OR($B156="",$B$4=""),"",IF(OR($B$13="",$B$13="Either",Mentors!$J140="Either",$B$13=Mentors!$J140),Settings!$B$11,0))</f>
        <v/>
      </c>
      <c r="J156" s="25">
        <f>IF(OR($B156="",$B$4=""),"",SUM(E156:I156))</f>
        <v/>
      </c>
      <c r="K156" s="26">
        <f>IF(J156="",-1,IF(N(D156)&lt;=0,-1,J156+(1000-ROW())/100000))</f>
        <v/>
      </c>
    </row>
    <row r="157">
      <c r="A157" s="24">
        <f>IF(Mentors!$D141="","",Mentors!$A141)</f>
        <v/>
      </c>
      <c r="B157" s="24">
        <f>IF(Mentors!$D141="","",Mentors!$D141)</f>
        <v/>
      </c>
      <c r="C157" s="24">
        <f>IF($B157="","",Mentors!$F141&amp;"")</f>
        <v/>
      </c>
      <c r="D157" s="24">
        <f>IF($B157="","",Mentors!$O141)</f>
        <v/>
      </c>
      <c r="E157" s="24">
        <f>IF(OR($B157="",$B$4=""),"",IF(AND($C157&lt;&gt;"",$C157=$B$7),Settings!$B$7,0))</f>
        <v/>
      </c>
      <c r="F157" s="24">
        <f>IF(OR($B157="",$B$4=""),"",Settings!$B$8*(($B$8&lt;&gt;"")*ISNUMBER(SEARCH($B$8,Mentors!$G141))+($B$9&lt;&gt;"")*ISNUMBER(SEARCH($B$9,Mentors!$G141))+($B$10&lt;&gt;"")*ISNUMBER(SEARCH($B$10,Mentors!$G141))))</f>
        <v/>
      </c>
      <c r="G157" s="24">
        <f>IF(OR($B157="",$B$4=""),"",Settings!$B$9*SUMPRODUCT(ISNUMBER(SEARCH(Settings!$G$4:$G$12,$B$11))*ISNUMBER(SEARCH(Settings!$G$4:$G$12,Mentors!$H141))))</f>
        <v/>
      </c>
      <c r="H157" s="24">
        <f>IF(OR($B157="",$B$4=""),"",Settings!$B$10*SUMPRODUCT(ISNUMBER(SEARCH(Settings!$H$4:$H$7,$B$12))*ISNUMBER(SEARCH(Settings!$H$4:$H$7,Mentors!$I141))))</f>
        <v/>
      </c>
      <c r="I157" s="24">
        <f>IF(OR($B157="",$B$4=""),"",IF(OR($B$13="",$B$13="Either",Mentors!$J141="Either",$B$13=Mentors!$J141),Settings!$B$11,0))</f>
        <v/>
      </c>
      <c r="J157" s="25">
        <f>IF(OR($B157="",$B$4=""),"",SUM(E157:I157))</f>
        <v/>
      </c>
      <c r="K157" s="26">
        <f>IF(J157="",-1,IF(N(D157)&lt;=0,-1,J157+(1000-ROW())/100000))</f>
        <v/>
      </c>
    </row>
    <row r="158">
      <c r="A158" s="24">
        <f>IF(Mentors!$D142="","",Mentors!$A142)</f>
        <v/>
      </c>
      <c r="B158" s="24">
        <f>IF(Mentors!$D142="","",Mentors!$D142)</f>
        <v/>
      </c>
      <c r="C158" s="24">
        <f>IF($B158="","",Mentors!$F142&amp;"")</f>
        <v/>
      </c>
      <c r="D158" s="24">
        <f>IF($B158="","",Mentors!$O142)</f>
        <v/>
      </c>
      <c r="E158" s="24">
        <f>IF(OR($B158="",$B$4=""),"",IF(AND($C158&lt;&gt;"",$C158=$B$7),Settings!$B$7,0))</f>
        <v/>
      </c>
      <c r="F158" s="24">
        <f>IF(OR($B158="",$B$4=""),"",Settings!$B$8*(($B$8&lt;&gt;"")*ISNUMBER(SEARCH($B$8,Mentors!$G142))+($B$9&lt;&gt;"")*ISNUMBER(SEARCH($B$9,Mentors!$G142))+($B$10&lt;&gt;"")*ISNUMBER(SEARCH($B$10,Mentors!$G142))))</f>
        <v/>
      </c>
      <c r="G158" s="24">
        <f>IF(OR($B158="",$B$4=""),"",Settings!$B$9*SUMPRODUCT(ISNUMBER(SEARCH(Settings!$G$4:$G$12,$B$11))*ISNUMBER(SEARCH(Settings!$G$4:$G$12,Mentors!$H142))))</f>
        <v/>
      </c>
      <c r="H158" s="24">
        <f>IF(OR($B158="",$B$4=""),"",Settings!$B$10*SUMPRODUCT(ISNUMBER(SEARCH(Settings!$H$4:$H$7,$B$12))*ISNUMBER(SEARCH(Settings!$H$4:$H$7,Mentors!$I142))))</f>
        <v/>
      </c>
      <c r="I158" s="24">
        <f>IF(OR($B158="",$B$4=""),"",IF(OR($B$13="",$B$13="Either",Mentors!$J142="Either",$B$13=Mentors!$J142),Settings!$B$11,0))</f>
        <v/>
      </c>
      <c r="J158" s="25">
        <f>IF(OR($B158="",$B$4=""),"",SUM(E158:I158))</f>
        <v/>
      </c>
      <c r="K158" s="26">
        <f>IF(J158="",-1,IF(N(D158)&lt;=0,-1,J158+(1000-ROW())/100000))</f>
        <v/>
      </c>
    </row>
    <row r="159">
      <c r="A159" s="24">
        <f>IF(Mentors!$D143="","",Mentors!$A143)</f>
        <v/>
      </c>
      <c r="B159" s="24">
        <f>IF(Mentors!$D143="","",Mentors!$D143)</f>
        <v/>
      </c>
      <c r="C159" s="24">
        <f>IF($B159="","",Mentors!$F143&amp;"")</f>
        <v/>
      </c>
      <c r="D159" s="24">
        <f>IF($B159="","",Mentors!$O143)</f>
        <v/>
      </c>
      <c r="E159" s="24">
        <f>IF(OR($B159="",$B$4=""),"",IF(AND($C159&lt;&gt;"",$C159=$B$7),Settings!$B$7,0))</f>
        <v/>
      </c>
      <c r="F159" s="24">
        <f>IF(OR($B159="",$B$4=""),"",Settings!$B$8*(($B$8&lt;&gt;"")*ISNUMBER(SEARCH($B$8,Mentors!$G143))+($B$9&lt;&gt;"")*ISNUMBER(SEARCH($B$9,Mentors!$G143))+($B$10&lt;&gt;"")*ISNUMBER(SEARCH($B$10,Mentors!$G143))))</f>
        <v/>
      </c>
      <c r="G159" s="24">
        <f>IF(OR($B159="",$B$4=""),"",Settings!$B$9*SUMPRODUCT(ISNUMBER(SEARCH(Settings!$G$4:$G$12,$B$11))*ISNUMBER(SEARCH(Settings!$G$4:$G$12,Mentors!$H143))))</f>
        <v/>
      </c>
      <c r="H159" s="24">
        <f>IF(OR($B159="",$B$4=""),"",Settings!$B$10*SUMPRODUCT(ISNUMBER(SEARCH(Settings!$H$4:$H$7,$B$12))*ISNUMBER(SEARCH(Settings!$H$4:$H$7,Mentors!$I143))))</f>
        <v/>
      </c>
      <c r="I159" s="24">
        <f>IF(OR($B159="",$B$4=""),"",IF(OR($B$13="",$B$13="Either",Mentors!$J143="Either",$B$13=Mentors!$J143),Settings!$B$11,0))</f>
        <v/>
      </c>
      <c r="J159" s="25">
        <f>IF(OR($B159="",$B$4=""),"",SUM(E159:I159))</f>
        <v/>
      </c>
      <c r="K159" s="26">
        <f>IF(J159="",-1,IF(N(D159)&lt;=0,-1,J159+(1000-ROW())/100000))</f>
        <v/>
      </c>
    </row>
    <row r="160">
      <c r="A160" s="24">
        <f>IF(Mentors!$D144="","",Mentors!$A144)</f>
        <v/>
      </c>
      <c r="B160" s="24">
        <f>IF(Mentors!$D144="","",Mentors!$D144)</f>
        <v/>
      </c>
      <c r="C160" s="24">
        <f>IF($B160="","",Mentors!$F144&amp;"")</f>
        <v/>
      </c>
      <c r="D160" s="24">
        <f>IF($B160="","",Mentors!$O144)</f>
        <v/>
      </c>
      <c r="E160" s="24">
        <f>IF(OR($B160="",$B$4=""),"",IF(AND($C160&lt;&gt;"",$C160=$B$7),Settings!$B$7,0))</f>
        <v/>
      </c>
      <c r="F160" s="24">
        <f>IF(OR($B160="",$B$4=""),"",Settings!$B$8*(($B$8&lt;&gt;"")*ISNUMBER(SEARCH($B$8,Mentors!$G144))+($B$9&lt;&gt;"")*ISNUMBER(SEARCH($B$9,Mentors!$G144))+($B$10&lt;&gt;"")*ISNUMBER(SEARCH($B$10,Mentors!$G144))))</f>
        <v/>
      </c>
      <c r="G160" s="24">
        <f>IF(OR($B160="",$B$4=""),"",Settings!$B$9*SUMPRODUCT(ISNUMBER(SEARCH(Settings!$G$4:$G$12,$B$11))*ISNUMBER(SEARCH(Settings!$G$4:$G$12,Mentors!$H144))))</f>
        <v/>
      </c>
      <c r="H160" s="24">
        <f>IF(OR($B160="",$B$4=""),"",Settings!$B$10*SUMPRODUCT(ISNUMBER(SEARCH(Settings!$H$4:$H$7,$B$12))*ISNUMBER(SEARCH(Settings!$H$4:$H$7,Mentors!$I144))))</f>
        <v/>
      </c>
      <c r="I160" s="24">
        <f>IF(OR($B160="",$B$4=""),"",IF(OR($B$13="",$B$13="Either",Mentors!$J144="Either",$B$13=Mentors!$J144),Settings!$B$11,0))</f>
        <v/>
      </c>
      <c r="J160" s="25">
        <f>IF(OR($B160="",$B$4=""),"",SUM(E160:I160))</f>
        <v/>
      </c>
      <c r="K160" s="26">
        <f>IF(J160="",-1,IF(N(D160)&lt;=0,-1,J160+(1000-ROW())/100000))</f>
        <v/>
      </c>
    </row>
    <row r="161">
      <c r="A161" s="24">
        <f>IF(Mentors!$D145="","",Mentors!$A145)</f>
        <v/>
      </c>
      <c r="B161" s="24">
        <f>IF(Mentors!$D145="","",Mentors!$D145)</f>
        <v/>
      </c>
      <c r="C161" s="24">
        <f>IF($B161="","",Mentors!$F145&amp;"")</f>
        <v/>
      </c>
      <c r="D161" s="24">
        <f>IF($B161="","",Mentors!$O145)</f>
        <v/>
      </c>
      <c r="E161" s="24">
        <f>IF(OR($B161="",$B$4=""),"",IF(AND($C161&lt;&gt;"",$C161=$B$7),Settings!$B$7,0))</f>
        <v/>
      </c>
      <c r="F161" s="24">
        <f>IF(OR($B161="",$B$4=""),"",Settings!$B$8*(($B$8&lt;&gt;"")*ISNUMBER(SEARCH($B$8,Mentors!$G145))+($B$9&lt;&gt;"")*ISNUMBER(SEARCH($B$9,Mentors!$G145))+($B$10&lt;&gt;"")*ISNUMBER(SEARCH($B$10,Mentors!$G145))))</f>
        <v/>
      </c>
      <c r="G161" s="24">
        <f>IF(OR($B161="",$B$4=""),"",Settings!$B$9*SUMPRODUCT(ISNUMBER(SEARCH(Settings!$G$4:$G$12,$B$11))*ISNUMBER(SEARCH(Settings!$G$4:$G$12,Mentors!$H145))))</f>
        <v/>
      </c>
      <c r="H161" s="24">
        <f>IF(OR($B161="",$B$4=""),"",Settings!$B$10*SUMPRODUCT(ISNUMBER(SEARCH(Settings!$H$4:$H$7,$B$12))*ISNUMBER(SEARCH(Settings!$H$4:$H$7,Mentors!$I145))))</f>
        <v/>
      </c>
      <c r="I161" s="24">
        <f>IF(OR($B161="",$B$4=""),"",IF(OR($B$13="",$B$13="Either",Mentors!$J145="Either",$B$13=Mentors!$J145),Settings!$B$11,0))</f>
        <v/>
      </c>
      <c r="J161" s="25">
        <f>IF(OR($B161="",$B$4=""),"",SUM(E161:I161))</f>
        <v/>
      </c>
      <c r="K161" s="26">
        <f>IF(J161="",-1,IF(N(D161)&lt;=0,-1,J161+(1000-ROW())/100000))</f>
        <v/>
      </c>
    </row>
    <row r="162">
      <c r="A162" s="24">
        <f>IF(Mentors!$D146="","",Mentors!$A146)</f>
        <v/>
      </c>
      <c r="B162" s="24">
        <f>IF(Mentors!$D146="","",Mentors!$D146)</f>
        <v/>
      </c>
      <c r="C162" s="24">
        <f>IF($B162="","",Mentors!$F146&amp;"")</f>
        <v/>
      </c>
      <c r="D162" s="24">
        <f>IF($B162="","",Mentors!$O146)</f>
        <v/>
      </c>
      <c r="E162" s="24">
        <f>IF(OR($B162="",$B$4=""),"",IF(AND($C162&lt;&gt;"",$C162=$B$7),Settings!$B$7,0))</f>
        <v/>
      </c>
      <c r="F162" s="24">
        <f>IF(OR($B162="",$B$4=""),"",Settings!$B$8*(($B$8&lt;&gt;"")*ISNUMBER(SEARCH($B$8,Mentors!$G146))+($B$9&lt;&gt;"")*ISNUMBER(SEARCH($B$9,Mentors!$G146))+($B$10&lt;&gt;"")*ISNUMBER(SEARCH($B$10,Mentors!$G146))))</f>
        <v/>
      </c>
      <c r="G162" s="24">
        <f>IF(OR($B162="",$B$4=""),"",Settings!$B$9*SUMPRODUCT(ISNUMBER(SEARCH(Settings!$G$4:$G$12,$B$11))*ISNUMBER(SEARCH(Settings!$G$4:$G$12,Mentors!$H146))))</f>
        <v/>
      </c>
      <c r="H162" s="24">
        <f>IF(OR($B162="",$B$4=""),"",Settings!$B$10*SUMPRODUCT(ISNUMBER(SEARCH(Settings!$H$4:$H$7,$B$12))*ISNUMBER(SEARCH(Settings!$H$4:$H$7,Mentors!$I146))))</f>
        <v/>
      </c>
      <c r="I162" s="24">
        <f>IF(OR($B162="",$B$4=""),"",IF(OR($B$13="",$B$13="Either",Mentors!$J146="Either",$B$13=Mentors!$J146),Settings!$B$11,0))</f>
        <v/>
      </c>
      <c r="J162" s="25">
        <f>IF(OR($B162="",$B$4=""),"",SUM(E162:I162))</f>
        <v/>
      </c>
      <c r="K162" s="26">
        <f>IF(J162="",-1,IF(N(D162)&lt;=0,-1,J162+(1000-ROW())/100000))</f>
        <v/>
      </c>
    </row>
    <row r="163">
      <c r="A163" s="24">
        <f>IF(Mentors!$D147="","",Mentors!$A147)</f>
        <v/>
      </c>
      <c r="B163" s="24">
        <f>IF(Mentors!$D147="","",Mentors!$D147)</f>
        <v/>
      </c>
      <c r="C163" s="24">
        <f>IF($B163="","",Mentors!$F147&amp;"")</f>
        <v/>
      </c>
      <c r="D163" s="24">
        <f>IF($B163="","",Mentors!$O147)</f>
        <v/>
      </c>
      <c r="E163" s="24">
        <f>IF(OR($B163="",$B$4=""),"",IF(AND($C163&lt;&gt;"",$C163=$B$7),Settings!$B$7,0))</f>
        <v/>
      </c>
      <c r="F163" s="24">
        <f>IF(OR($B163="",$B$4=""),"",Settings!$B$8*(($B$8&lt;&gt;"")*ISNUMBER(SEARCH($B$8,Mentors!$G147))+($B$9&lt;&gt;"")*ISNUMBER(SEARCH($B$9,Mentors!$G147))+($B$10&lt;&gt;"")*ISNUMBER(SEARCH($B$10,Mentors!$G147))))</f>
        <v/>
      </c>
      <c r="G163" s="24">
        <f>IF(OR($B163="",$B$4=""),"",Settings!$B$9*SUMPRODUCT(ISNUMBER(SEARCH(Settings!$G$4:$G$12,$B$11))*ISNUMBER(SEARCH(Settings!$G$4:$G$12,Mentors!$H147))))</f>
        <v/>
      </c>
      <c r="H163" s="24">
        <f>IF(OR($B163="",$B$4=""),"",Settings!$B$10*SUMPRODUCT(ISNUMBER(SEARCH(Settings!$H$4:$H$7,$B$12))*ISNUMBER(SEARCH(Settings!$H$4:$H$7,Mentors!$I147))))</f>
        <v/>
      </c>
      <c r="I163" s="24">
        <f>IF(OR($B163="",$B$4=""),"",IF(OR($B$13="",$B$13="Either",Mentors!$J147="Either",$B$13=Mentors!$J147),Settings!$B$11,0))</f>
        <v/>
      </c>
      <c r="J163" s="25">
        <f>IF(OR($B163="",$B$4=""),"",SUM(E163:I163))</f>
        <v/>
      </c>
      <c r="K163" s="26">
        <f>IF(J163="",-1,IF(N(D163)&lt;=0,-1,J163+(1000-ROW())/100000))</f>
        <v/>
      </c>
    </row>
    <row r="164">
      <c r="A164" s="24">
        <f>IF(Mentors!$D148="","",Mentors!$A148)</f>
        <v/>
      </c>
      <c r="B164" s="24">
        <f>IF(Mentors!$D148="","",Mentors!$D148)</f>
        <v/>
      </c>
      <c r="C164" s="24">
        <f>IF($B164="","",Mentors!$F148&amp;"")</f>
        <v/>
      </c>
      <c r="D164" s="24">
        <f>IF($B164="","",Mentors!$O148)</f>
        <v/>
      </c>
      <c r="E164" s="24">
        <f>IF(OR($B164="",$B$4=""),"",IF(AND($C164&lt;&gt;"",$C164=$B$7),Settings!$B$7,0))</f>
        <v/>
      </c>
      <c r="F164" s="24">
        <f>IF(OR($B164="",$B$4=""),"",Settings!$B$8*(($B$8&lt;&gt;"")*ISNUMBER(SEARCH($B$8,Mentors!$G148))+($B$9&lt;&gt;"")*ISNUMBER(SEARCH($B$9,Mentors!$G148))+($B$10&lt;&gt;"")*ISNUMBER(SEARCH($B$10,Mentors!$G148))))</f>
        <v/>
      </c>
      <c r="G164" s="24">
        <f>IF(OR($B164="",$B$4=""),"",Settings!$B$9*SUMPRODUCT(ISNUMBER(SEARCH(Settings!$G$4:$G$12,$B$11))*ISNUMBER(SEARCH(Settings!$G$4:$G$12,Mentors!$H148))))</f>
        <v/>
      </c>
      <c r="H164" s="24">
        <f>IF(OR($B164="",$B$4=""),"",Settings!$B$10*SUMPRODUCT(ISNUMBER(SEARCH(Settings!$H$4:$H$7,$B$12))*ISNUMBER(SEARCH(Settings!$H$4:$H$7,Mentors!$I148))))</f>
        <v/>
      </c>
      <c r="I164" s="24">
        <f>IF(OR($B164="",$B$4=""),"",IF(OR($B$13="",$B$13="Either",Mentors!$J148="Either",$B$13=Mentors!$J148),Settings!$B$11,0))</f>
        <v/>
      </c>
      <c r="J164" s="25">
        <f>IF(OR($B164="",$B$4=""),"",SUM(E164:I164))</f>
        <v/>
      </c>
      <c r="K164" s="26">
        <f>IF(J164="",-1,IF(N(D164)&lt;=0,-1,J164+(1000-ROW())/100000))</f>
        <v/>
      </c>
    </row>
    <row r="165">
      <c r="A165" s="24">
        <f>IF(Mentors!$D149="","",Mentors!$A149)</f>
        <v/>
      </c>
      <c r="B165" s="24">
        <f>IF(Mentors!$D149="","",Mentors!$D149)</f>
        <v/>
      </c>
      <c r="C165" s="24">
        <f>IF($B165="","",Mentors!$F149&amp;"")</f>
        <v/>
      </c>
      <c r="D165" s="24">
        <f>IF($B165="","",Mentors!$O149)</f>
        <v/>
      </c>
      <c r="E165" s="24">
        <f>IF(OR($B165="",$B$4=""),"",IF(AND($C165&lt;&gt;"",$C165=$B$7),Settings!$B$7,0))</f>
        <v/>
      </c>
      <c r="F165" s="24">
        <f>IF(OR($B165="",$B$4=""),"",Settings!$B$8*(($B$8&lt;&gt;"")*ISNUMBER(SEARCH($B$8,Mentors!$G149))+($B$9&lt;&gt;"")*ISNUMBER(SEARCH($B$9,Mentors!$G149))+($B$10&lt;&gt;"")*ISNUMBER(SEARCH($B$10,Mentors!$G149))))</f>
        <v/>
      </c>
      <c r="G165" s="24">
        <f>IF(OR($B165="",$B$4=""),"",Settings!$B$9*SUMPRODUCT(ISNUMBER(SEARCH(Settings!$G$4:$G$12,$B$11))*ISNUMBER(SEARCH(Settings!$G$4:$G$12,Mentors!$H149))))</f>
        <v/>
      </c>
      <c r="H165" s="24">
        <f>IF(OR($B165="",$B$4=""),"",Settings!$B$10*SUMPRODUCT(ISNUMBER(SEARCH(Settings!$H$4:$H$7,$B$12))*ISNUMBER(SEARCH(Settings!$H$4:$H$7,Mentors!$I149))))</f>
        <v/>
      </c>
      <c r="I165" s="24">
        <f>IF(OR($B165="",$B$4=""),"",IF(OR($B$13="",$B$13="Either",Mentors!$J149="Either",$B$13=Mentors!$J149),Settings!$B$11,0))</f>
        <v/>
      </c>
      <c r="J165" s="25">
        <f>IF(OR($B165="",$B$4=""),"",SUM(E165:I165))</f>
        <v/>
      </c>
      <c r="K165" s="26">
        <f>IF(J165="",-1,IF(N(D165)&lt;=0,-1,J165+(1000-ROW())/100000))</f>
        <v/>
      </c>
    </row>
    <row r="166">
      <c r="A166" s="24">
        <f>IF(Mentors!$D150="","",Mentors!$A150)</f>
        <v/>
      </c>
      <c r="B166" s="24">
        <f>IF(Mentors!$D150="","",Mentors!$D150)</f>
        <v/>
      </c>
      <c r="C166" s="24">
        <f>IF($B166="","",Mentors!$F150&amp;"")</f>
        <v/>
      </c>
      <c r="D166" s="24">
        <f>IF($B166="","",Mentors!$O150)</f>
        <v/>
      </c>
      <c r="E166" s="24">
        <f>IF(OR($B166="",$B$4=""),"",IF(AND($C166&lt;&gt;"",$C166=$B$7),Settings!$B$7,0))</f>
        <v/>
      </c>
      <c r="F166" s="24">
        <f>IF(OR($B166="",$B$4=""),"",Settings!$B$8*(($B$8&lt;&gt;"")*ISNUMBER(SEARCH($B$8,Mentors!$G150))+($B$9&lt;&gt;"")*ISNUMBER(SEARCH($B$9,Mentors!$G150))+($B$10&lt;&gt;"")*ISNUMBER(SEARCH($B$10,Mentors!$G150))))</f>
        <v/>
      </c>
      <c r="G166" s="24">
        <f>IF(OR($B166="",$B$4=""),"",Settings!$B$9*SUMPRODUCT(ISNUMBER(SEARCH(Settings!$G$4:$G$12,$B$11))*ISNUMBER(SEARCH(Settings!$G$4:$G$12,Mentors!$H150))))</f>
        <v/>
      </c>
      <c r="H166" s="24">
        <f>IF(OR($B166="",$B$4=""),"",Settings!$B$10*SUMPRODUCT(ISNUMBER(SEARCH(Settings!$H$4:$H$7,$B$12))*ISNUMBER(SEARCH(Settings!$H$4:$H$7,Mentors!$I150))))</f>
        <v/>
      </c>
      <c r="I166" s="24">
        <f>IF(OR($B166="",$B$4=""),"",IF(OR($B$13="",$B$13="Either",Mentors!$J150="Either",$B$13=Mentors!$J150),Settings!$B$11,0))</f>
        <v/>
      </c>
      <c r="J166" s="25">
        <f>IF(OR($B166="",$B$4=""),"",SUM(E166:I166))</f>
        <v/>
      </c>
      <c r="K166" s="26">
        <f>IF(J166="",-1,IF(N(D166)&lt;=0,-1,J166+(1000-ROW())/100000))</f>
        <v/>
      </c>
    </row>
    <row r="167">
      <c r="A167" s="24">
        <f>IF(Mentors!$D151="","",Mentors!$A151)</f>
        <v/>
      </c>
      <c r="B167" s="24">
        <f>IF(Mentors!$D151="","",Mentors!$D151)</f>
        <v/>
      </c>
      <c r="C167" s="24">
        <f>IF($B167="","",Mentors!$F151&amp;"")</f>
        <v/>
      </c>
      <c r="D167" s="24">
        <f>IF($B167="","",Mentors!$O151)</f>
        <v/>
      </c>
      <c r="E167" s="24">
        <f>IF(OR($B167="",$B$4=""),"",IF(AND($C167&lt;&gt;"",$C167=$B$7),Settings!$B$7,0))</f>
        <v/>
      </c>
      <c r="F167" s="24">
        <f>IF(OR($B167="",$B$4=""),"",Settings!$B$8*(($B$8&lt;&gt;"")*ISNUMBER(SEARCH($B$8,Mentors!$G151))+($B$9&lt;&gt;"")*ISNUMBER(SEARCH($B$9,Mentors!$G151))+($B$10&lt;&gt;"")*ISNUMBER(SEARCH($B$10,Mentors!$G151))))</f>
        <v/>
      </c>
      <c r="G167" s="24">
        <f>IF(OR($B167="",$B$4=""),"",Settings!$B$9*SUMPRODUCT(ISNUMBER(SEARCH(Settings!$G$4:$G$12,$B$11))*ISNUMBER(SEARCH(Settings!$G$4:$G$12,Mentors!$H151))))</f>
        <v/>
      </c>
      <c r="H167" s="24">
        <f>IF(OR($B167="",$B$4=""),"",Settings!$B$10*SUMPRODUCT(ISNUMBER(SEARCH(Settings!$H$4:$H$7,$B$12))*ISNUMBER(SEARCH(Settings!$H$4:$H$7,Mentors!$I151))))</f>
        <v/>
      </c>
      <c r="I167" s="24">
        <f>IF(OR($B167="",$B$4=""),"",IF(OR($B$13="",$B$13="Either",Mentors!$J151="Either",$B$13=Mentors!$J151),Settings!$B$11,0))</f>
        <v/>
      </c>
      <c r="J167" s="25">
        <f>IF(OR($B167="",$B$4=""),"",SUM(E167:I167))</f>
        <v/>
      </c>
      <c r="K167" s="26">
        <f>IF(J167="",-1,IF(N(D167)&lt;=0,-1,J167+(1000-ROW())/100000))</f>
        <v/>
      </c>
    </row>
  </sheetData>
  <conditionalFormatting sqref="J18:J167">
    <cfRule type="expression" priority="1" dxfId="0">
      <formula>AND(ISNUMBER(J18),J18=MAX($J$18:$J$167),J18&gt;0)</formula>
    </cfRule>
  </conditionalFormatting>
  <dataValidations count="1">
    <dataValidation sqref="B3" showDropDown="0" showInputMessage="1" showErrorMessage="1" allowBlank="1" errorTitle="Invalid entry" error="Pick a value from the list." prompt="Pick a mentee ID from the list" type="list">
      <formula1>Mentees!$A$2:$A$301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24" customWidth="1" min="3" max="3"/>
    <col width="22" customWidth="1" min="4" max="4"/>
    <col width="12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30" customWidth="1" min="12" max="12"/>
    <col width="13" customWidth="1" min="13" max="13"/>
    <col width="40" customWidth="1" min="14" max="14"/>
    <col width="14" customWidth="1" min="15" max="15"/>
    <col width="13" customWidth="1" min="16" max="16"/>
  </cols>
  <sheetData>
    <row r="1" ht="32" customHeight="1">
      <c r="A1" s="13" t="inlineStr">
        <is>
          <t>Mentee ID</t>
        </is>
      </c>
      <c r="B1" s="27" t="inlineStr">
        <is>
          <t>Timestamp</t>
        </is>
      </c>
      <c r="C1" s="27" t="inlineStr">
        <is>
          <t>Email</t>
        </is>
      </c>
      <c r="D1" s="27" t="inlineStr">
        <is>
          <t>Full name</t>
        </is>
      </c>
      <c r="E1" s="27" t="inlineStr">
        <is>
          <t>Year</t>
        </is>
      </c>
      <c r="F1" s="27" t="inlineStr">
        <is>
          <t>Major</t>
        </is>
      </c>
      <c r="G1" s="27" t="inlineStr">
        <is>
          <t>Department for mentor</t>
        </is>
      </c>
      <c r="H1" s="27" t="inlineStr">
        <is>
          <t>Interest keyword 1</t>
        </is>
      </c>
      <c r="I1" s="27" t="inlineStr">
        <is>
          <t>Interest keyword 2</t>
        </is>
      </c>
      <c r="J1" s="27" t="inlineStr">
        <is>
          <t>Interest keyword 3</t>
        </is>
      </c>
      <c r="K1" s="27" t="inlineStr">
        <is>
          <t>Career goals</t>
        </is>
      </c>
      <c r="L1" s="27" t="inlineStr">
        <is>
          <t>Availability</t>
        </is>
      </c>
      <c r="M1" s="27" t="inlineStr">
        <is>
          <t>Meeting format</t>
        </is>
      </c>
      <c r="N1" s="27" t="inlineStr">
        <is>
          <t>What do you hope to get from a mentor?</t>
        </is>
      </c>
      <c r="O1" s="27" t="inlineStr">
        <is>
          <t>Agrees to 2 meetings / 8 weeks</t>
        </is>
      </c>
      <c r="P1" s="13" t="inlineStr">
        <is>
          <t>Match status</t>
        </is>
      </c>
    </row>
    <row r="2">
      <c r="A2" s="24" t="inlineStr">
        <is>
          <t>U-001</t>
        </is>
      </c>
      <c r="B2" s="28" t="n">
        <v>46315.42708333334</v>
      </c>
      <c r="C2" s="29" t="inlineStr">
        <is>
          <t>jlee@uga.edu</t>
        </is>
      </c>
      <c r="D2" s="29" t="inlineStr">
        <is>
          <t>Jordan Lee (SAMPLE)</t>
        </is>
      </c>
      <c r="E2" s="29" t="inlineStr">
        <is>
          <t>Sophomore</t>
        </is>
      </c>
      <c r="F2" s="29" t="inlineStr">
        <is>
          <t>Computer Science</t>
        </is>
      </c>
      <c r="G2" s="29" t="inlineStr">
        <is>
          <t>Computer Science</t>
        </is>
      </c>
      <c r="H2" s="29" t="inlineStr">
        <is>
          <t>machine learning</t>
        </is>
      </c>
      <c r="I2" s="29" t="inlineStr">
        <is>
          <t>healthcare</t>
        </is>
      </c>
      <c r="J2" s="29" t="inlineStr"/>
      <c r="K2" s="29" t="inlineStr">
        <is>
          <t>Industry R&amp;D, Graduate school (PhD)</t>
        </is>
      </c>
      <c r="L2" s="29" t="inlineStr">
        <is>
          <t>Weekday afternoons, Weekends</t>
        </is>
      </c>
      <c r="M2" s="29" t="inlineStr">
        <is>
          <t>Either</t>
        </is>
      </c>
      <c r="N2" s="29" t="inlineStr">
        <is>
          <t>Learn how to join a research lab and whether a PhD fits me.</t>
        </is>
      </c>
      <c r="O2" s="29" t="inlineStr">
        <is>
          <t>Yes</t>
        </is>
      </c>
      <c r="P2" s="24">
        <f>IF(D2="","",IF(COUNTIFS(Matches!$B$2:$B$501,A2,Matches!$L$2:$L$501,"&lt;&gt;Withdrawn")&gt;0,"Matched","Waiting"))</f>
        <v/>
      </c>
    </row>
    <row r="3">
      <c r="A3" s="24" t="inlineStr">
        <is>
          <t>U-002</t>
        </is>
      </c>
      <c r="B3" s="30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>
        <f>IF(D3="","",IF(COUNTIFS(Matches!$B$2:$B$501,A3,Matches!$L$2:$L$501,"&lt;&gt;Withdrawn")&gt;0,"Matched","Waiting"))</f>
        <v/>
      </c>
    </row>
    <row r="4">
      <c r="A4" s="24" t="inlineStr">
        <is>
          <t>U-003</t>
        </is>
      </c>
      <c r="B4" s="30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>
        <f>IF(D4="","",IF(COUNTIFS(Matches!$B$2:$B$501,A4,Matches!$L$2:$L$501,"&lt;&gt;Withdrawn")&gt;0,"Matched","Waiting"))</f>
        <v/>
      </c>
    </row>
    <row r="5">
      <c r="A5" s="24" t="inlineStr">
        <is>
          <t>U-004</t>
        </is>
      </c>
      <c r="B5" s="30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>
        <f>IF(D5="","",IF(COUNTIFS(Matches!$B$2:$B$501,A5,Matches!$L$2:$L$501,"&lt;&gt;Withdrawn")&gt;0,"Matched","Waiting"))</f>
        <v/>
      </c>
    </row>
    <row r="6">
      <c r="A6" s="24" t="inlineStr">
        <is>
          <t>U-005</t>
        </is>
      </c>
      <c r="B6" s="30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>
        <f>IF(D6="","",IF(COUNTIFS(Matches!$B$2:$B$501,A6,Matches!$L$2:$L$501,"&lt;&gt;Withdrawn")&gt;0,"Matched","Waiting"))</f>
        <v/>
      </c>
    </row>
    <row r="7">
      <c r="A7" s="24" t="inlineStr">
        <is>
          <t>U-006</t>
        </is>
      </c>
      <c r="B7" s="30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>
        <f>IF(D7="","",IF(COUNTIFS(Matches!$B$2:$B$501,A7,Matches!$L$2:$L$501,"&lt;&gt;Withdrawn")&gt;0,"Matched","Waiting"))</f>
        <v/>
      </c>
    </row>
    <row r="8">
      <c r="A8" s="24" t="inlineStr">
        <is>
          <t>U-007</t>
        </is>
      </c>
      <c r="B8" s="30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>
        <f>IF(D8="","",IF(COUNTIFS(Matches!$B$2:$B$501,A8,Matches!$L$2:$L$501,"&lt;&gt;Withdrawn")&gt;0,"Matched","Waiting"))</f>
        <v/>
      </c>
    </row>
    <row r="9">
      <c r="A9" s="24" t="inlineStr">
        <is>
          <t>U-008</t>
        </is>
      </c>
      <c r="B9" s="30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>
        <f>IF(D9="","",IF(COUNTIFS(Matches!$B$2:$B$501,A9,Matches!$L$2:$L$501,"&lt;&gt;Withdrawn")&gt;0,"Matched","Waiting"))</f>
        <v/>
      </c>
    </row>
    <row r="10">
      <c r="A10" s="24" t="inlineStr">
        <is>
          <t>U-009</t>
        </is>
      </c>
      <c r="B10" s="30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>
        <f>IF(D10="","",IF(COUNTIFS(Matches!$B$2:$B$501,A10,Matches!$L$2:$L$501,"&lt;&gt;Withdrawn")&gt;0,"Matched","Waiting"))</f>
        <v/>
      </c>
    </row>
    <row r="11">
      <c r="A11" s="24" t="inlineStr">
        <is>
          <t>U-010</t>
        </is>
      </c>
      <c r="B11" s="30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>
        <f>IF(D11="","",IF(COUNTIFS(Matches!$B$2:$B$501,A11,Matches!$L$2:$L$501,"&lt;&gt;Withdrawn")&gt;0,"Matched","Waiting"))</f>
        <v/>
      </c>
    </row>
    <row r="12">
      <c r="A12" s="24" t="inlineStr">
        <is>
          <t>U-011</t>
        </is>
      </c>
      <c r="B12" s="30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>
        <f>IF(D12="","",IF(COUNTIFS(Matches!$B$2:$B$501,A12,Matches!$L$2:$L$501,"&lt;&gt;Withdrawn")&gt;0,"Matched","Waiting"))</f>
        <v/>
      </c>
    </row>
    <row r="13">
      <c r="A13" s="24" t="inlineStr">
        <is>
          <t>U-012</t>
        </is>
      </c>
      <c r="B13" s="30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>
        <f>IF(D13="","",IF(COUNTIFS(Matches!$B$2:$B$501,A13,Matches!$L$2:$L$501,"&lt;&gt;Withdrawn")&gt;0,"Matched","Waiting"))</f>
        <v/>
      </c>
    </row>
    <row r="14">
      <c r="A14" s="24" t="inlineStr">
        <is>
          <t>U-013</t>
        </is>
      </c>
      <c r="B14" s="30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>
        <f>IF(D14="","",IF(COUNTIFS(Matches!$B$2:$B$501,A14,Matches!$L$2:$L$501,"&lt;&gt;Withdrawn")&gt;0,"Matched","Waiting"))</f>
        <v/>
      </c>
    </row>
    <row r="15">
      <c r="A15" s="24" t="inlineStr">
        <is>
          <t>U-014</t>
        </is>
      </c>
      <c r="B15" s="30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>
        <f>IF(D15="","",IF(COUNTIFS(Matches!$B$2:$B$501,A15,Matches!$L$2:$L$501,"&lt;&gt;Withdrawn")&gt;0,"Matched","Waiting"))</f>
        <v/>
      </c>
    </row>
    <row r="16">
      <c r="A16" s="24" t="inlineStr">
        <is>
          <t>U-015</t>
        </is>
      </c>
      <c r="B16" s="30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>
        <f>IF(D16="","",IF(COUNTIFS(Matches!$B$2:$B$501,A16,Matches!$L$2:$L$501,"&lt;&gt;Withdrawn")&gt;0,"Matched","Waiting"))</f>
        <v/>
      </c>
    </row>
    <row r="17">
      <c r="A17" s="24" t="inlineStr">
        <is>
          <t>U-016</t>
        </is>
      </c>
      <c r="B17" s="30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>
        <f>IF(D17="","",IF(COUNTIFS(Matches!$B$2:$B$501,A17,Matches!$L$2:$L$501,"&lt;&gt;Withdrawn")&gt;0,"Matched","Waiting"))</f>
        <v/>
      </c>
    </row>
    <row r="18">
      <c r="A18" s="24" t="inlineStr">
        <is>
          <t>U-017</t>
        </is>
      </c>
      <c r="B18" s="30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>
        <f>IF(D18="","",IF(COUNTIFS(Matches!$B$2:$B$501,A18,Matches!$L$2:$L$501,"&lt;&gt;Withdrawn")&gt;0,"Matched","Waiting"))</f>
        <v/>
      </c>
    </row>
    <row r="19">
      <c r="A19" s="24" t="inlineStr">
        <is>
          <t>U-018</t>
        </is>
      </c>
      <c r="B19" s="30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>
        <f>IF(D19="","",IF(COUNTIFS(Matches!$B$2:$B$501,A19,Matches!$L$2:$L$501,"&lt;&gt;Withdrawn")&gt;0,"Matched","Waiting"))</f>
        <v/>
      </c>
    </row>
    <row r="20">
      <c r="A20" s="24" t="inlineStr">
        <is>
          <t>U-019</t>
        </is>
      </c>
      <c r="B20" s="30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>
        <f>IF(D20="","",IF(COUNTIFS(Matches!$B$2:$B$501,A20,Matches!$L$2:$L$501,"&lt;&gt;Withdrawn")&gt;0,"Matched","Waiting"))</f>
        <v/>
      </c>
    </row>
    <row r="21">
      <c r="A21" s="24" t="inlineStr">
        <is>
          <t>U-020</t>
        </is>
      </c>
      <c r="B21" s="30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>
        <f>IF(D21="","",IF(COUNTIFS(Matches!$B$2:$B$501,A21,Matches!$L$2:$L$501,"&lt;&gt;Withdrawn")&gt;0,"Matched","Waiting"))</f>
        <v/>
      </c>
    </row>
    <row r="22">
      <c r="A22" s="24" t="inlineStr">
        <is>
          <t>U-021</t>
        </is>
      </c>
      <c r="B22" s="30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>
        <f>IF(D22="","",IF(COUNTIFS(Matches!$B$2:$B$501,A22,Matches!$L$2:$L$501,"&lt;&gt;Withdrawn")&gt;0,"Matched","Waiting"))</f>
        <v/>
      </c>
    </row>
    <row r="23">
      <c r="A23" s="24" t="inlineStr">
        <is>
          <t>U-022</t>
        </is>
      </c>
      <c r="B23" s="30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>
        <f>IF(D23="","",IF(COUNTIFS(Matches!$B$2:$B$501,A23,Matches!$L$2:$L$501,"&lt;&gt;Withdrawn")&gt;0,"Matched","Waiting"))</f>
        <v/>
      </c>
    </row>
    <row r="24">
      <c r="A24" s="24" t="inlineStr">
        <is>
          <t>U-023</t>
        </is>
      </c>
      <c r="B24" s="30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>
        <f>IF(D24="","",IF(COUNTIFS(Matches!$B$2:$B$501,A24,Matches!$L$2:$L$501,"&lt;&gt;Withdrawn")&gt;0,"Matched","Waiting"))</f>
        <v/>
      </c>
    </row>
    <row r="25">
      <c r="A25" s="24" t="inlineStr">
        <is>
          <t>U-024</t>
        </is>
      </c>
      <c r="B25" s="30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>
        <f>IF(D25="","",IF(COUNTIFS(Matches!$B$2:$B$501,A25,Matches!$L$2:$L$501,"&lt;&gt;Withdrawn")&gt;0,"Matched","Waiting"))</f>
        <v/>
      </c>
    </row>
    <row r="26">
      <c r="A26" s="24" t="inlineStr">
        <is>
          <t>U-025</t>
        </is>
      </c>
      <c r="B26" s="30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>
        <f>IF(D26="","",IF(COUNTIFS(Matches!$B$2:$B$501,A26,Matches!$L$2:$L$501,"&lt;&gt;Withdrawn")&gt;0,"Matched","Waiting"))</f>
        <v/>
      </c>
    </row>
    <row r="27">
      <c r="A27" s="24" t="inlineStr">
        <is>
          <t>U-026</t>
        </is>
      </c>
      <c r="B27" s="30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>
        <f>IF(D27="","",IF(COUNTIFS(Matches!$B$2:$B$501,A27,Matches!$L$2:$L$501,"&lt;&gt;Withdrawn")&gt;0,"Matched","Waiting"))</f>
        <v/>
      </c>
    </row>
    <row r="28">
      <c r="A28" s="24" t="inlineStr">
        <is>
          <t>U-027</t>
        </is>
      </c>
      <c r="B28" s="30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>
        <f>IF(D28="","",IF(COUNTIFS(Matches!$B$2:$B$501,A28,Matches!$L$2:$L$501,"&lt;&gt;Withdrawn")&gt;0,"Matched","Waiting"))</f>
        <v/>
      </c>
    </row>
    <row r="29">
      <c r="A29" s="24" t="inlineStr">
        <is>
          <t>U-028</t>
        </is>
      </c>
      <c r="B29" s="30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>
        <f>IF(D29="","",IF(COUNTIFS(Matches!$B$2:$B$501,A29,Matches!$L$2:$L$501,"&lt;&gt;Withdrawn")&gt;0,"Matched","Waiting"))</f>
        <v/>
      </c>
    </row>
    <row r="30">
      <c r="A30" s="24" t="inlineStr">
        <is>
          <t>U-029</t>
        </is>
      </c>
      <c r="B30" s="30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>
        <f>IF(D30="","",IF(COUNTIFS(Matches!$B$2:$B$501,A30,Matches!$L$2:$L$501,"&lt;&gt;Withdrawn")&gt;0,"Matched","Waiting"))</f>
        <v/>
      </c>
    </row>
    <row r="31">
      <c r="A31" s="24" t="inlineStr">
        <is>
          <t>U-030</t>
        </is>
      </c>
      <c r="B31" s="30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>
        <f>IF(D31="","",IF(COUNTIFS(Matches!$B$2:$B$501,A31,Matches!$L$2:$L$501,"&lt;&gt;Withdrawn")&gt;0,"Matched","Waiting"))</f>
        <v/>
      </c>
    </row>
    <row r="32">
      <c r="A32" s="24" t="inlineStr">
        <is>
          <t>U-031</t>
        </is>
      </c>
      <c r="B32" s="30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>
        <f>IF(D32="","",IF(COUNTIFS(Matches!$B$2:$B$501,A32,Matches!$L$2:$L$501,"&lt;&gt;Withdrawn")&gt;0,"Matched","Waiting"))</f>
        <v/>
      </c>
    </row>
    <row r="33">
      <c r="A33" s="24" t="inlineStr">
        <is>
          <t>U-032</t>
        </is>
      </c>
      <c r="B33" s="30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>
        <f>IF(D33="","",IF(COUNTIFS(Matches!$B$2:$B$501,A33,Matches!$L$2:$L$501,"&lt;&gt;Withdrawn")&gt;0,"Matched","Waiting"))</f>
        <v/>
      </c>
    </row>
    <row r="34">
      <c r="A34" s="24" t="inlineStr">
        <is>
          <t>U-033</t>
        </is>
      </c>
      <c r="B34" s="30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>
        <f>IF(D34="","",IF(COUNTIFS(Matches!$B$2:$B$501,A34,Matches!$L$2:$L$501,"&lt;&gt;Withdrawn")&gt;0,"Matched","Waiting"))</f>
        <v/>
      </c>
    </row>
    <row r="35">
      <c r="A35" s="24" t="inlineStr">
        <is>
          <t>U-034</t>
        </is>
      </c>
      <c r="B35" s="30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>
        <f>IF(D35="","",IF(COUNTIFS(Matches!$B$2:$B$501,A35,Matches!$L$2:$L$501,"&lt;&gt;Withdrawn")&gt;0,"Matched","Waiting"))</f>
        <v/>
      </c>
    </row>
    <row r="36">
      <c r="A36" s="24" t="inlineStr">
        <is>
          <t>U-035</t>
        </is>
      </c>
      <c r="B36" s="30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>
        <f>IF(D36="","",IF(COUNTIFS(Matches!$B$2:$B$501,A36,Matches!$L$2:$L$501,"&lt;&gt;Withdrawn")&gt;0,"Matched","Waiting"))</f>
        <v/>
      </c>
    </row>
    <row r="37">
      <c r="A37" s="24" t="inlineStr">
        <is>
          <t>U-036</t>
        </is>
      </c>
      <c r="B37" s="30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>
        <f>IF(D37="","",IF(COUNTIFS(Matches!$B$2:$B$501,A37,Matches!$L$2:$L$501,"&lt;&gt;Withdrawn")&gt;0,"Matched","Waiting"))</f>
        <v/>
      </c>
    </row>
    <row r="38">
      <c r="A38" s="24" t="inlineStr">
        <is>
          <t>U-037</t>
        </is>
      </c>
      <c r="B38" s="30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>
        <f>IF(D38="","",IF(COUNTIFS(Matches!$B$2:$B$501,A38,Matches!$L$2:$L$501,"&lt;&gt;Withdrawn")&gt;0,"Matched","Waiting"))</f>
        <v/>
      </c>
    </row>
    <row r="39">
      <c r="A39" s="24" t="inlineStr">
        <is>
          <t>U-038</t>
        </is>
      </c>
      <c r="B39" s="30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>
        <f>IF(D39="","",IF(COUNTIFS(Matches!$B$2:$B$501,A39,Matches!$L$2:$L$501,"&lt;&gt;Withdrawn")&gt;0,"Matched","Waiting"))</f>
        <v/>
      </c>
    </row>
    <row r="40">
      <c r="A40" s="24" t="inlineStr">
        <is>
          <t>U-039</t>
        </is>
      </c>
      <c r="B40" s="30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>
        <f>IF(D40="","",IF(COUNTIFS(Matches!$B$2:$B$501,A40,Matches!$L$2:$L$501,"&lt;&gt;Withdrawn")&gt;0,"Matched","Waiting"))</f>
        <v/>
      </c>
    </row>
    <row r="41">
      <c r="A41" s="24" t="inlineStr">
        <is>
          <t>U-040</t>
        </is>
      </c>
      <c r="B41" s="30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>
        <f>IF(D41="","",IF(COUNTIFS(Matches!$B$2:$B$501,A41,Matches!$L$2:$L$501,"&lt;&gt;Withdrawn")&gt;0,"Matched","Waiting"))</f>
        <v/>
      </c>
    </row>
    <row r="42">
      <c r="A42" s="24" t="inlineStr">
        <is>
          <t>U-041</t>
        </is>
      </c>
      <c r="B42" s="30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>
        <f>IF(D42="","",IF(COUNTIFS(Matches!$B$2:$B$501,A42,Matches!$L$2:$L$501,"&lt;&gt;Withdrawn")&gt;0,"Matched","Waiting"))</f>
        <v/>
      </c>
    </row>
    <row r="43">
      <c r="A43" s="24" t="inlineStr">
        <is>
          <t>U-042</t>
        </is>
      </c>
      <c r="B43" s="30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>
        <f>IF(D43="","",IF(COUNTIFS(Matches!$B$2:$B$501,A43,Matches!$L$2:$L$501,"&lt;&gt;Withdrawn")&gt;0,"Matched","Waiting"))</f>
        <v/>
      </c>
    </row>
    <row r="44">
      <c r="A44" s="24" t="inlineStr">
        <is>
          <t>U-043</t>
        </is>
      </c>
      <c r="B44" s="30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>
        <f>IF(D44="","",IF(COUNTIFS(Matches!$B$2:$B$501,A44,Matches!$L$2:$L$501,"&lt;&gt;Withdrawn")&gt;0,"Matched","Waiting"))</f>
        <v/>
      </c>
    </row>
    <row r="45">
      <c r="A45" s="24" t="inlineStr">
        <is>
          <t>U-044</t>
        </is>
      </c>
      <c r="B45" s="30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>
        <f>IF(D45="","",IF(COUNTIFS(Matches!$B$2:$B$501,A45,Matches!$L$2:$L$501,"&lt;&gt;Withdrawn")&gt;0,"Matched","Waiting"))</f>
        <v/>
      </c>
    </row>
    <row r="46">
      <c r="A46" s="24" t="inlineStr">
        <is>
          <t>U-045</t>
        </is>
      </c>
      <c r="B46" s="30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>
        <f>IF(D46="","",IF(COUNTIFS(Matches!$B$2:$B$501,A46,Matches!$L$2:$L$501,"&lt;&gt;Withdrawn")&gt;0,"Matched","Waiting"))</f>
        <v/>
      </c>
    </row>
    <row r="47">
      <c r="A47" s="24" t="inlineStr">
        <is>
          <t>U-046</t>
        </is>
      </c>
      <c r="B47" s="30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>
        <f>IF(D47="","",IF(COUNTIFS(Matches!$B$2:$B$501,A47,Matches!$L$2:$L$501,"&lt;&gt;Withdrawn")&gt;0,"Matched","Waiting"))</f>
        <v/>
      </c>
    </row>
    <row r="48">
      <c r="A48" s="24" t="inlineStr">
        <is>
          <t>U-047</t>
        </is>
      </c>
      <c r="B48" s="30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>
        <f>IF(D48="","",IF(COUNTIFS(Matches!$B$2:$B$501,A48,Matches!$L$2:$L$501,"&lt;&gt;Withdrawn")&gt;0,"Matched","Waiting"))</f>
        <v/>
      </c>
    </row>
    <row r="49">
      <c r="A49" s="24" t="inlineStr">
        <is>
          <t>U-048</t>
        </is>
      </c>
      <c r="B49" s="30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>
        <f>IF(D49="","",IF(COUNTIFS(Matches!$B$2:$B$501,A49,Matches!$L$2:$L$501,"&lt;&gt;Withdrawn")&gt;0,"Matched","Waiting"))</f>
        <v/>
      </c>
    </row>
    <row r="50">
      <c r="A50" s="24" t="inlineStr">
        <is>
          <t>U-049</t>
        </is>
      </c>
      <c r="B50" s="30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>
        <f>IF(D50="","",IF(COUNTIFS(Matches!$B$2:$B$501,A50,Matches!$L$2:$L$501,"&lt;&gt;Withdrawn")&gt;0,"Matched","Waiting"))</f>
        <v/>
      </c>
    </row>
    <row r="51">
      <c r="A51" s="24" t="inlineStr">
        <is>
          <t>U-050</t>
        </is>
      </c>
      <c r="B51" s="30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>
        <f>IF(D51="","",IF(COUNTIFS(Matches!$B$2:$B$501,A51,Matches!$L$2:$L$501,"&lt;&gt;Withdrawn")&gt;0,"Matched","Waiting"))</f>
        <v/>
      </c>
    </row>
    <row r="52">
      <c r="A52" s="24" t="inlineStr">
        <is>
          <t>U-051</t>
        </is>
      </c>
      <c r="B52" s="30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>
        <f>IF(D52="","",IF(COUNTIFS(Matches!$B$2:$B$501,A52,Matches!$L$2:$L$501,"&lt;&gt;Withdrawn")&gt;0,"Matched","Waiting"))</f>
        <v/>
      </c>
    </row>
    <row r="53">
      <c r="A53" s="24" t="inlineStr">
        <is>
          <t>U-052</t>
        </is>
      </c>
      <c r="B53" s="30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>
        <f>IF(D53="","",IF(COUNTIFS(Matches!$B$2:$B$501,A53,Matches!$L$2:$L$501,"&lt;&gt;Withdrawn")&gt;0,"Matched","Waiting"))</f>
        <v/>
      </c>
    </row>
    <row r="54">
      <c r="A54" s="24" t="inlineStr">
        <is>
          <t>U-053</t>
        </is>
      </c>
      <c r="B54" s="30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>
        <f>IF(D54="","",IF(COUNTIFS(Matches!$B$2:$B$501,A54,Matches!$L$2:$L$501,"&lt;&gt;Withdrawn")&gt;0,"Matched","Waiting"))</f>
        <v/>
      </c>
    </row>
    <row r="55">
      <c r="A55" s="24" t="inlineStr">
        <is>
          <t>U-054</t>
        </is>
      </c>
      <c r="B55" s="30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>
        <f>IF(D55="","",IF(COUNTIFS(Matches!$B$2:$B$501,A55,Matches!$L$2:$L$501,"&lt;&gt;Withdrawn")&gt;0,"Matched","Waiting"))</f>
        <v/>
      </c>
    </row>
    <row r="56">
      <c r="A56" s="24" t="inlineStr">
        <is>
          <t>U-055</t>
        </is>
      </c>
      <c r="B56" s="30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>
        <f>IF(D56="","",IF(COUNTIFS(Matches!$B$2:$B$501,A56,Matches!$L$2:$L$501,"&lt;&gt;Withdrawn")&gt;0,"Matched","Waiting"))</f>
        <v/>
      </c>
    </row>
    <row r="57">
      <c r="A57" s="24" t="inlineStr">
        <is>
          <t>U-056</t>
        </is>
      </c>
      <c r="B57" s="30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>
        <f>IF(D57="","",IF(COUNTIFS(Matches!$B$2:$B$501,A57,Matches!$L$2:$L$501,"&lt;&gt;Withdrawn")&gt;0,"Matched","Waiting"))</f>
        <v/>
      </c>
    </row>
    <row r="58">
      <c r="A58" s="24" t="inlineStr">
        <is>
          <t>U-057</t>
        </is>
      </c>
      <c r="B58" s="30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>
        <f>IF(D58="","",IF(COUNTIFS(Matches!$B$2:$B$501,A58,Matches!$L$2:$L$501,"&lt;&gt;Withdrawn")&gt;0,"Matched","Waiting"))</f>
        <v/>
      </c>
    </row>
    <row r="59">
      <c r="A59" s="24" t="inlineStr">
        <is>
          <t>U-058</t>
        </is>
      </c>
      <c r="B59" s="30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>
        <f>IF(D59="","",IF(COUNTIFS(Matches!$B$2:$B$501,A59,Matches!$L$2:$L$501,"&lt;&gt;Withdrawn")&gt;0,"Matched","Waiting"))</f>
        <v/>
      </c>
    </row>
    <row r="60">
      <c r="A60" s="24" t="inlineStr">
        <is>
          <t>U-059</t>
        </is>
      </c>
      <c r="B60" s="30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>
        <f>IF(D60="","",IF(COUNTIFS(Matches!$B$2:$B$501,A60,Matches!$L$2:$L$501,"&lt;&gt;Withdrawn")&gt;0,"Matched","Waiting"))</f>
        <v/>
      </c>
    </row>
    <row r="61">
      <c r="A61" s="24" t="inlineStr">
        <is>
          <t>U-060</t>
        </is>
      </c>
      <c r="B61" s="30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>
        <f>IF(D61="","",IF(COUNTIFS(Matches!$B$2:$B$501,A61,Matches!$L$2:$L$501,"&lt;&gt;Withdrawn")&gt;0,"Matched","Waiting"))</f>
        <v/>
      </c>
    </row>
    <row r="62">
      <c r="A62" s="24" t="inlineStr">
        <is>
          <t>U-061</t>
        </is>
      </c>
      <c r="B62" s="30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>
        <f>IF(D62="","",IF(COUNTIFS(Matches!$B$2:$B$501,A62,Matches!$L$2:$L$501,"&lt;&gt;Withdrawn")&gt;0,"Matched","Waiting"))</f>
        <v/>
      </c>
    </row>
    <row r="63">
      <c r="A63" s="24" t="inlineStr">
        <is>
          <t>U-062</t>
        </is>
      </c>
      <c r="B63" s="30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>
        <f>IF(D63="","",IF(COUNTIFS(Matches!$B$2:$B$501,A63,Matches!$L$2:$L$501,"&lt;&gt;Withdrawn")&gt;0,"Matched","Waiting"))</f>
        <v/>
      </c>
    </row>
    <row r="64">
      <c r="A64" s="24" t="inlineStr">
        <is>
          <t>U-063</t>
        </is>
      </c>
      <c r="B64" s="30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>
        <f>IF(D64="","",IF(COUNTIFS(Matches!$B$2:$B$501,A64,Matches!$L$2:$L$501,"&lt;&gt;Withdrawn")&gt;0,"Matched","Waiting"))</f>
        <v/>
      </c>
    </row>
    <row r="65">
      <c r="A65" s="24" t="inlineStr">
        <is>
          <t>U-064</t>
        </is>
      </c>
      <c r="B65" s="30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>
        <f>IF(D65="","",IF(COUNTIFS(Matches!$B$2:$B$501,A65,Matches!$L$2:$L$501,"&lt;&gt;Withdrawn")&gt;0,"Matched","Waiting"))</f>
        <v/>
      </c>
    </row>
    <row r="66">
      <c r="A66" s="24" t="inlineStr">
        <is>
          <t>U-065</t>
        </is>
      </c>
      <c r="B66" s="30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>
        <f>IF(D66="","",IF(COUNTIFS(Matches!$B$2:$B$501,A66,Matches!$L$2:$L$501,"&lt;&gt;Withdrawn")&gt;0,"Matched","Waiting"))</f>
        <v/>
      </c>
    </row>
    <row r="67">
      <c r="A67" s="24" t="inlineStr">
        <is>
          <t>U-066</t>
        </is>
      </c>
      <c r="B67" s="30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>
        <f>IF(D67="","",IF(COUNTIFS(Matches!$B$2:$B$501,A67,Matches!$L$2:$L$501,"&lt;&gt;Withdrawn")&gt;0,"Matched","Waiting"))</f>
        <v/>
      </c>
    </row>
    <row r="68">
      <c r="A68" s="24" t="inlineStr">
        <is>
          <t>U-067</t>
        </is>
      </c>
      <c r="B68" s="30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>
        <f>IF(D68="","",IF(COUNTIFS(Matches!$B$2:$B$501,A68,Matches!$L$2:$L$501,"&lt;&gt;Withdrawn")&gt;0,"Matched","Waiting"))</f>
        <v/>
      </c>
    </row>
    <row r="69">
      <c r="A69" s="24" t="inlineStr">
        <is>
          <t>U-068</t>
        </is>
      </c>
      <c r="B69" s="30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>
        <f>IF(D69="","",IF(COUNTIFS(Matches!$B$2:$B$501,A69,Matches!$L$2:$L$501,"&lt;&gt;Withdrawn")&gt;0,"Matched","Waiting"))</f>
        <v/>
      </c>
    </row>
    <row r="70">
      <c r="A70" s="24" t="inlineStr">
        <is>
          <t>U-069</t>
        </is>
      </c>
      <c r="B70" s="30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>
        <f>IF(D70="","",IF(COUNTIFS(Matches!$B$2:$B$501,A70,Matches!$L$2:$L$501,"&lt;&gt;Withdrawn")&gt;0,"Matched","Waiting"))</f>
        <v/>
      </c>
    </row>
    <row r="71">
      <c r="A71" s="24" t="inlineStr">
        <is>
          <t>U-070</t>
        </is>
      </c>
      <c r="B71" s="30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>
        <f>IF(D71="","",IF(COUNTIFS(Matches!$B$2:$B$501,A71,Matches!$L$2:$L$501,"&lt;&gt;Withdrawn")&gt;0,"Matched","Waiting"))</f>
        <v/>
      </c>
    </row>
    <row r="72">
      <c r="A72" s="24" t="inlineStr">
        <is>
          <t>U-071</t>
        </is>
      </c>
      <c r="B72" s="30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>
        <f>IF(D72="","",IF(COUNTIFS(Matches!$B$2:$B$501,A72,Matches!$L$2:$L$501,"&lt;&gt;Withdrawn")&gt;0,"Matched","Waiting"))</f>
        <v/>
      </c>
    </row>
    <row r="73">
      <c r="A73" s="24" t="inlineStr">
        <is>
          <t>U-072</t>
        </is>
      </c>
      <c r="B73" s="30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>
        <f>IF(D73="","",IF(COUNTIFS(Matches!$B$2:$B$501,A73,Matches!$L$2:$L$501,"&lt;&gt;Withdrawn")&gt;0,"Matched","Waiting"))</f>
        <v/>
      </c>
    </row>
    <row r="74">
      <c r="A74" s="24" t="inlineStr">
        <is>
          <t>U-073</t>
        </is>
      </c>
      <c r="B74" s="30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>
        <f>IF(D74="","",IF(COUNTIFS(Matches!$B$2:$B$501,A74,Matches!$L$2:$L$501,"&lt;&gt;Withdrawn")&gt;0,"Matched","Waiting"))</f>
        <v/>
      </c>
    </row>
    <row r="75">
      <c r="A75" s="24" t="inlineStr">
        <is>
          <t>U-074</t>
        </is>
      </c>
      <c r="B75" s="30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>
        <f>IF(D75="","",IF(COUNTIFS(Matches!$B$2:$B$501,A75,Matches!$L$2:$L$501,"&lt;&gt;Withdrawn")&gt;0,"Matched","Waiting"))</f>
        <v/>
      </c>
    </row>
    <row r="76">
      <c r="A76" s="24" t="inlineStr">
        <is>
          <t>U-075</t>
        </is>
      </c>
      <c r="B76" s="30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>
        <f>IF(D76="","",IF(COUNTIFS(Matches!$B$2:$B$501,A76,Matches!$L$2:$L$501,"&lt;&gt;Withdrawn")&gt;0,"Matched","Waiting"))</f>
        <v/>
      </c>
    </row>
    <row r="77">
      <c r="A77" s="24" t="inlineStr">
        <is>
          <t>U-076</t>
        </is>
      </c>
      <c r="B77" s="30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>
        <f>IF(D77="","",IF(COUNTIFS(Matches!$B$2:$B$501,A77,Matches!$L$2:$L$501,"&lt;&gt;Withdrawn")&gt;0,"Matched","Waiting"))</f>
        <v/>
      </c>
    </row>
    <row r="78">
      <c r="A78" s="24" t="inlineStr">
        <is>
          <t>U-077</t>
        </is>
      </c>
      <c r="B78" s="30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>
        <f>IF(D78="","",IF(COUNTIFS(Matches!$B$2:$B$501,A78,Matches!$L$2:$L$501,"&lt;&gt;Withdrawn")&gt;0,"Matched","Waiting"))</f>
        <v/>
      </c>
    </row>
    <row r="79">
      <c r="A79" s="24" t="inlineStr">
        <is>
          <t>U-078</t>
        </is>
      </c>
      <c r="B79" s="30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>
        <f>IF(D79="","",IF(COUNTIFS(Matches!$B$2:$B$501,A79,Matches!$L$2:$L$501,"&lt;&gt;Withdrawn")&gt;0,"Matched","Waiting"))</f>
        <v/>
      </c>
    </row>
    <row r="80">
      <c r="A80" s="24" t="inlineStr">
        <is>
          <t>U-079</t>
        </is>
      </c>
      <c r="B80" s="30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>
        <f>IF(D80="","",IF(COUNTIFS(Matches!$B$2:$B$501,A80,Matches!$L$2:$L$501,"&lt;&gt;Withdrawn")&gt;0,"Matched","Waiting"))</f>
        <v/>
      </c>
    </row>
    <row r="81">
      <c r="A81" s="24" t="inlineStr">
        <is>
          <t>U-080</t>
        </is>
      </c>
      <c r="B81" s="30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>
        <f>IF(D81="","",IF(COUNTIFS(Matches!$B$2:$B$501,A81,Matches!$L$2:$L$501,"&lt;&gt;Withdrawn")&gt;0,"Matched","Waiting"))</f>
        <v/>
      </c>
    </row>
    <row r="82">
      <c r="A82" s="24" t="inlineStr">
        <is>
          <t>U-081</t>
        </is>
      </c>
      <c r="B82" s="30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>
        <f>IF(D82="","",IF(COUNTIFS(Matches!$B$2:$B$501,A82,Matches!$L$2:$L$501,"&lt;&gt;Withdrawn")&gt;0,"Matched","Waiting"))</f>
        <v/>
      </c>
    </row>
    <row r="83">
      <c r="A83" s="24" t="inlineStr">
        <is>
          <t>U-082</t>
        </is>
      </c>
      <c r="B83" s="30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>
        <f>IF(D83="","",IF(COUNTIFS(Matches!$B$2:$B$501,A83,Matches!$L$2:$L$501,"&lt;&gt;Withdrawn")&gt;0,"Matched","Waiting"))</f>
        <v/>
      </c>
    </row>
    <row r="84">
      <c r="A84" s="24" t="inlineStr">
        <is>
          <t>U-083</t>
        </is>
      </c>
      <c r="B84" s="30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>
        <f>IF(D84="","",IF(COUNTIFS(Matches!$B$2:$B$501,A84,Matches!$L$2:$L$501,"&lt;&gt;Withdrawn")&gt;0,"Matched","Waiting"))</f>
        <v/>
      </c>
    </row>
    <row r="85">
      <c r="A85" s="24" t="inlineStr">
        <is>
          <t>U-084</t>
        </is>
      </c>
      <c r="B85" s="30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>
        <f>IF(D85="","",IF(COUNTIFS(Matches!$B$2:$B$501,A85,Matches!$L$2:$L$501,"&lt;&gt;Withdrawn")&gt;0,"Matched","Waiting"))</f>
        <v/>
      </c>
    </row>
    <row r="86">
      <c r="A86" s="24" t="inlineStr">
        <is>
          <t>U-085</t>
        </is>
      </c>
      <c r="B86" s="30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>
        <f>IF(D86="","",IF(COUNTIFS(Matches!$B$2:$B$501,A86,Matches!$L$2:$L$501,"&lt;&gt;Withdrawn")&gt;0,"Matched","Waiting"))</f>
        <v/>
      </c>
    </row>
    <row r="87">
      <c r="A87" s="24" t="inlineStr">
        <is>
          <t>U-086</t>
        </is>
      </c>
      <c r="B87" s="30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>
        <f>IF(D87="","",IF(COUNTIFS(Matches!$B$2:$B$501,A87,Matches!$L$2:$L$501,"&lt;&gt;Withdrawn")&gt;0,"Matched","Waiting"))</f>
        <v/>
      </c>
    </row>
    <row r="88">
      <c r="A88" s="24" t="inlineStr">
        <is>
          <t>U-087</t>
        </is>
      </c>
      <c r="B88" s="30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>
        <f>IF(D88="","",IF(COUNTIFS(Matches!$B$2:$B$501,A88,Matches!$L$2:$L$501,"&lt;&gt;Withdrawn")&gt;0,"Matched","Waiting"))</f>
        <v/>
      </c>
    </row>
    <row r="89">
      <c r="A89" s="24" t="inlineStr">
        <is>
          <t>U-088</t>
        </is>
      </c>
      <c r="B89" s="30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>
        <f>IF(D89="","",IF(COUNTIFS(Matches!$B$2:$B$501,A89,Matches!$L$2:$L$501,"&lt;&gt;Withdrawn")&gt;0,"Matched","Waiting"))</f>
        <v/>
      </c>
    </row>
    <row r="90">
      <c r="A90" s="24" t="inlineStr">
        <is>
          <t>U-089</t>
        </is>
      </c>
      <c r="B90" s="30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>
        <f>IF(D90="","",IF(COUNTIFS(Matches!$B$2:$B$501,A90,Matches!$L$2:$L$501,"&lt;&gt;Withdrawn")&gt;0,"Matched","Waiting"))</f>
        <v/>
      </c>
    </row>
    <row r="91">
      <c r="A91" s="24" t="inlineStr">
        <is>
          <t>U-090</t>
        </is>
      </c>
      <c r="B91" s="30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>
        <f>IF(D91="","",IF(COUNTIFS(Matches!$B$2:$B$501,A91,Matches!$L$2:$L$501,"&lt;&gt;Withdrawn")&gt;0,"Matched","Waiting"))</f>
        <v/>
      </c>
    </row>
    <row r="92">
      <c r="A92" s="24" t="inlineStr">
        <is>
          <t>U-091</t>
        </is>
      </c>
      <c r="B92" s="30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>
        <f>IF(D92="","",IF(COUNTIFS(Matches!$B$2:$B$501,A92,Matches!$L$2:$L$501,"&lt;&gt;Withdrawn")&gt;0,"Matched","Waiting"))</f>
        <v/>
      </c>
    </row>
    <row r="93">
      <c r="A93" s="24" t="inlineStr">
        <is>
          <t>U-092</t>
        </is>
      </c>
      <c r="B93" s="30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>
        <f>IF(D93="","",IF(COUNTIFS(Matches!$B$2:$B$501,A93,Matches!$L$2:$L$501,"&lt;&gt;Withdrawn")&gt;0,"Matched","Waiting"))</f>
        <v/>
      </c>
    </row>
    <row r="94">
      <c r="A94" s="24" t="inlineStr">
        <is>
          <t>U-093</t>
        </is>
      </c>
      <c r="B94" s="30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>
        <f>IF(D94="","",IF(COUNTIFS(Matches!$B$2:$B$501,A94,Matches!$L$2:$L$501,"&lt;&gt;Withdrawn")&gt;0,"Matched","Waiting"))</f>
        <v/>
      </c>
    </row>
    <row r="95">
      <c r="A95" s="24" t="inlineStr">
        <is>
          <t>U-094</t>
        </is>
      </c>
      <c r="B95" s="30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>
        <f>IF(D95="","",IF(COUNTIFS(Matches!$B$2:$B$501,A95,Matches!$L$2:$L$501,"&lt;&gt;Withdrawn")&gt;0,"Matched","Waiting"))</f>
        <v/>
      </c>
    </row>
    <row r="96">
      <c r="A96" s="24" t="inlineStr">
        <is>
          <t>U-095</t>
        </is>
      </c>
      <c r="B96" s="30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>
        <f>IF(D96="","",IF(COUNTIFS(Matches!$B$2:$B$501,A96,Matches!$L$2:$L$501,"&lt;&gt;Withdrawn")&gt;0,"Matched","Waiting"))</f>
        <v/>
      </c>
    </row>
    <row r="97">
      <c r="A97" s="24" t="inlineStr">
        <is>
          <t>U-096</t>
        </is>
      </c>
      <c r="B97" s="30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>
        <f>IF(D97="","",IF(COUNTIFS(Matches!$B$2:$B$501,A97,Matches!$L$2:$L$501,"&lt;&gt;Withdrawn")&gt;0,"Matched","Waiting"))</f>
        <v/>
      </c>
    </row>
    <row r="98">
      <c r="A98" s="24" t="inlineStr">
        <is>
          <t>U-097</t>
        </is>
      </c>
      <c r="B98" s="30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>
        <f>IF(D98="","",IF(COUNTIFS(Matches!$B$2:$B$501,A98,Matches!$L$2:$L$501,"&lt;&gt;Withdrawn")&gt;0,"Matched","Waiting"))</f>
        <v/>
      </c>
    </row>
    <row r="99">
      <c r="A99" s="24" t="inlineStr">
        <is>
          <t>U-098</t>
        </is>
      </c>
      <c r="B99" s="30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>
        <f>IF(D99="","",IF(COUNTIFS(Matches!$B$2:$B$501,A99,Matches!$L$2:$L$501,"&lt;&gt;Withdrawn")&gt;0,"Matched","Waiting"))</f>
        <v/>
      </c>
    </row>
    <row r="100">
      <c r="A100" s="24" t="inlineStr">
        <is>
          <t>U-099</t>
        </is>
      </c>
      <c r="B100" s="30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>
        <f>IF(D100="","",IF(COUNTIFS(Matches!$B$2:$B$501,A100,Matches!$L$2:$L$501,"&lt;&gt;Withdrawn")&gt;0,"Matched","Waiting"))</f>
        <v/>
      </c>
    </row>
    <row r="101">
      <c r="A101" s="24" t="inlineStr">
        <is>
          <t>U-100</t>
        </is>
      </c>
      <c r="B101" s="30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>
        <f>IF(D101="","",IF(COUNTIFS(Matches!$B$2:$B$501,A101,Matches!$L$2:$L$501,"&lt;&gt;Withdrawn")&gt;0,"Matched","Waiting"))</f>
        <v/>
      </c>
    </row>
    <row r="102">
      <c r="A102" s="24" t="inlineStr">
        <is>
          <t>U-101</t>
        </is>
      </c>
      <c r="B102" s="30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>
        <f>IF(D102="","",IF(COUNTIFS(Matches!$B$2:$B$501,A102,Matches!$L$2:$L$501,"&lt;&gt;Withdrawn")&gt;0,"Matched","Waiting"))</f>
        <v/>
      </c>
    </row>
    <row r="103">
      <c r="A103" s="24" t="inlineStr">
        <is>
          <t>U-102</t>
        </is>
      </c>
      <c r="B103" s="30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>
        <f>IF(D103="","",IF(COUNTIFS(Matches!$B$2:$B$501,A103,Matches!$L$2:$L$501,"&lt;&gt;Withdrawn")&gt;0,"Matched","Waiting"))</f>
        <v/>
      </c>
    </row>
    <row r="104">
      <c r="A104" s="24" t="inlineStr">
        <is>
          <t>U-103</t>
        </is>
      </c>
      <c r="B104" s="30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>
        <f>IF(D104="","",IF(COUNTIFS(Matches!$B$2:$B$501,A104,Matches!$L$2:$L$501,"&lt;&gt;Withdrawn")&gt;0,"Matched","Waiting"))</f>
        <v/>
      </c>
    </row>
    <row r="105">
      <c r="A105" s="24" t="inlineStr">
        <is>
          <t>U-104</t>
        </is>
      </c>
      <c r="B105" s="30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>
        <f>IF(D105="","",IF(COUNTIFS(Matches!$B$2:$B$501,A105,Matches!$L$2:$L$501,"&lt;&gt;Withdrawn")&gt;0,"Matched","Waiting"))</f>
        <v/>
      </c>
    </row>
    <row r="106">
      <c r="A106" s="24" t="inlineStr">
        <is>
          <t>U-105</t>
        </is>
      </c>
      <c r="B106" s="30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>
        <f>IF(D106="","",IF(COUNTIFS(Matches!$B$2:$B$501,A106,Matches!$L$2:$L$501,"&lt;&gt;Withdrawn")&gt;0,"Matched","Waiting"))</f>
        <v/>
      </c>
    </row>
    <row r="107">
      <c r="A107" s="24" t="inlineStr">
        <is>
          <t>U-106</t>
        </is>
      </c>
      <c r="B107" s="30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>
        <f>IF(D107="","",IF(COUNTIFS(Matches!$B$2:$B$501,A107,Matches!$L$2:$L$501,"&lt;&gt;Withdrawn")&gt;0,"Matched","Waiting"))</f>
        <v/>
      </c>
    </row>
    <row r="108">
      <c r="A108" s="24" t="inlineStr">
        <is>
          <t>U-107</t>
        </is>
      </c>
      <c r="B108" s="30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>
        <f>IF(D108="","",IF(COUNTIFS(Matches!$B$2:$B$501,A108,Matches!$L$2:$L$501,"&lt;&gt;Withdrawn")&gt;0,"Matched","Waiting"))</f>
        <v/>
      </c>
    </row>
    <row r="109">
      <c r="A109" s="24" t="inlineStr">
        <is>
          <t>U-108</t>
        </is>
      </c>
      <c r="B109" s="30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>
        <f>IF(D109="","",IF(COUNTIFS(Matches!$B$2:$B$501,A109,Matches!$L$2:$L$501,"&lt;&gt;Withdrawn")&gt;0,"Matched","Waiting"))</f>
        <v/>
      </c>
    </row>
    <row r="110">
      <c r="A110" s="24" t="inlineStr">
        <is>
          <t>U-109</t>
        </is>
      </c>
      <c r="B110" s="30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>
        <f>IF(D110="","",IF(COUNTIFS(Matches!$B$2:$B$501,A110,Matches!$L$2:$L$501,"&lt;&gt;Withdrawn")&gt;0,"Matched","Waiting"))</f>
        <v/>
      </c>
    </row>
    <row r="111">
      <c r="A111" s="24" t="inlineStr">
        <is>
          <t>U-110</t>
        </is>
      </c>
      <c r="B111" s="30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>
        <f>IF(D111="","",IF(COUNTIFS(Matches!$B$2:$B$501,A111,Matches!$L$2:$L$501,"&lt;&gt;Withdrawn")&gt;0,"Matched","Waiting"))</f>
        <v/>
      </c>
    </row>
    <row r="112">
      <c r="A112" s="24" t="inlineStr">
        <is>
          <t>U-111</t>
        </is>
      </c>
      <c r="B112" s="30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>
        <f>IF(D112="","",IF(COUNTIFS(Matches!$B$2:$B$501,A112,Matches!$L$2:$L$501,"&lt;&gt;Withdrawn")&gt;0,"Matched","Waiting"))</f>
        <v/>
      </c>
    </row>
    <row r="113">
      <c r="A113" s="24" t="inlineStr">
        <is>
          <t>U-112</t>
        </is>
      </c>
      <c r="B113" s="30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>
        <f>IF(D113="","",IF(COUNTIFS(Matches!$B$2:$B$501,A113,Matches!$L$2:$L$501,"&lt;&gt;Withdrawn")&gt;0,"Matched","Waiting"))</f>
        <v/>
      </c>
    </row>
    <row r="114">
      <c r="A114" s="24" t="inlineStr">
        <is>
          <t>U-113</t>
        </is>
      </c>
      <c r="B114" s="30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>
        <f>IF(D114="","",IF(COUNTIFS(Matches!$B$2:$B$501,A114,Matches!$L$2:$L$501,"&lt;&gt;Withdrawn")&gt;0,"Matched","Waiting"))</f>
        <v/>
      </c>
    </row>
    <row r="115">
      <c r="A115" s="24" t="inlineStr">
        <is>
          <t>U-114</t>
        </is>
      </c>
      <c r="B115" s="30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>
        <f>IF(D115="","",IF(COUNTIFS(Matches!$B$2:$B$501,A115,Matches!$L$2:$L$501,"&lt;&gt;Withdrawn")&gt;0,"Matched","Waiting"))</f>
        <v/>
      </c>
    </row>
    <row r="116">
      <c r="A116" s="24" t="inlineStr">
        <is>
          <t>U-115</t>
        </is>
      </c>
      <c r="B116" s="30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>
        <f>IF(D116="","",IF(COUNTIFS(Matches!$B$2:$B$501,A116,Matches!$L$2:$L$501,"&lt;&gt;Withdrawn")&gt;0,"Matched","Waiting"))</f>
        <v/>
      </c>
    </row>
    <row r="117">
      <c r="A117" s="24" t="inlineStr">
        <is>
          <t>U-116</t>
        </is>
      </c>
      <c r="B117" s="30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>
        <f>IF(D117="","",IF(COUNTIFS(Matches!$B$2:$B$501,A117,Matches!$L$2:$L$501,"&lt;&gt;Withdrawn")&gt;0,"Matched","Waiting"))</f>
        <v/>
      </c>
    </row>
    <row r="118">
      <c r="A118" s="24" t="inlineStr">
        <is>
          <t>U-117</t>
        </is>
      </c>
      <c r="B118" s="30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>
        <f>IF(D118="","",IF(COUNTIFS(Matches!$B$2:$B$501,A118,Matches!$L$2:$L$501,"&lt;&gt;Withdrawn")&gt;0,"Matched","Waiting"))</f>
        <v/>
      </c>
    </row>
    <row r="119">
      <c r="A119" s="24" t="inlineStr">
        <is>
          <t>U-118</t>
        </is>
      </c>
      <c r="B119" s="30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>
        <f>IF(D119="","",IF(COUNTIFS(Matches!$B$2:$B$501,A119,Matches!$L$2:$L$501,"&lt;&gt;Withdrawn")&gt;0,"Matched","Waiting"))</f>
        <v/>
      </c>
    </row>
    <row r="120">
      <c r="A120" s="24" t="inlineStr">
        <is>
          <t>U-119</t>
        </is>
      </c>
      <c r="B120" s="30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>
        <f>IF(D120="","",IF(COUNTIFS(Matches!$B$2:$B$501,A120,Matches!$L$2:$L$501,"&lt;&gt;Withdrawn")&gt;0,"Matched","Waiting"))</f>
        <v/>
      </c>
    </row>
    <row r="121">
      <c r="A121" s="24" t="inlineStr">
        <is>
          <t>U-120</t>
        </is>
      </c>
      <c r="B121" s="30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>
        <f>IF(D121="","",IF(COUNTIFS(Matches!$B$2:$B$501,A121,Matches!$L$2:$L$501,"&lt;&gt;Withdrawn")&gt;0,"Matched","Waiting"))</f>
        <v/>
      </c>
    </row>
    <row r="122">
      <c r="A122" s="24" t="inlineStr">
        <is>
          <t>U-121</t>
        </is>
      </c>
      <c r="B122" s="30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>
        <f>IF(D122="","",IF(COUNTIFS(Matches!$B$2:$B$501,A122,Matches!$L$2:$L$501,"&lt;&gt;Withdrawn")&gt;0,"Matched","Waiting"))</f>
        <v/>
      </c>
    </row>
    <row r="123">
      <c r="A123" s="24" t="inlineStr">
        <is>
          <t>U-122</t>
        </is>
      </c>
      <c r="B123" s="30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>
        <f>IF(D123="","",IF(COUNTIFS(Matches!$B$2:$B$501,A123,Matches!$L$2:$L$501,"&lt;&gt;Withdrawn")&gt;0,"Matched","Waiting"))</f>
        <v/>
      </c>
    </row>
    <row r="124">
      <c r="A124" s="24" t="inlineStr">
        <is>
          <t>U-123</t>
        </is>
      </c>
      <c r="B124" s="30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>
        <f>IF(D124="","",IF(COUNTIFS(Matches!$B$2:$B$501,A124,Matches!$L$2:$L$501,"&lt;&gt;Withdrawn")&gt;0,"Matched","Waiting"))</f>
        <v/>
      </c>
    </row>
    <row r="125">
      <c r="A125" s="24" t="inlineStr">
        <is>
          <t>U-124</t>
        </is>
      </c>
      <c r="B125" s="30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>
        <f>IF(D125="","",IF(COUNTIFS(Matches!$B$2:$B$501,A125,Matches!$L$2:$L$501,"&lt;&gt;Withdrawn")&gt;0,"Matched","Waiting"))</f>
        <v/>
      </c>
    </row>
    <row r="126">
      <c r="A126" s="24" t="inlineStr">
        <is>
          <t>U-125</t>
        </is>
      </c>
      <c r="B126" s="30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>
        <f>IF(D126="","",IF(COUNTIFS(Matches!$B$2:$B$501,A126,Matches!$L$2:$L$501,"&lt;&gt;Withdrawn")&gt;0,"Matched","Waiting"))</f>
        <v/>
      </c>
    </row>
    <row r="127">
      <c r="A127" s="24" t="inlineStr">
        <is>
          <t>U-126</t>
        </is>
      </c>
      <c r="B127" s="30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>
        <f>IF(D127="","",IF(COUNTIFS(Matches!$B$2:$B$501,A127,Matches!$L$2:$L$501,"&lt;&gt;Withdrawn")&gt;0,"Matched","Waiting"))</f>
        <v/>
      </c>
    </row>
    <row r="128">
      <c r="A128" s="24" t="inlineStr">
        <is>
          <t>U-127</t>
        </is>
      </c>
      <c r="B128" s="30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>
        <f>IF(D128="","",IF(COUNTIFS(Matches!$B$2:$B$501,A128,Matches!$L$2:$L$501,"&lt;&gt;Withdrawn")&gt;0,"Matched","Waiting"))</f>
        <v/>
      </c>
    </row>
    <row r="129">
      <c r="A129" s="24" t="inlineStr">
        <is>
          <t>U-128</t>
        </is>
      </c>
      <c r="B129" s="30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>
        <f>IF(D129="","",IF(COUNTIFS(Matches!$B$2:$B$501,A129,Matches!$L$2:$L$501,"&lt;&gt;Withdrawn")&gt;0,"Matched","Waiting"))</f>
        <v/>
      </c>
    </row>
    <row r="130">
      <c r="A130" s="24" t="inlineStr">
        <is>
          <t>U-129</t>
        </is>
      </c>
      <c r="B130" s="30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>
        <f>IF(D130="","",IF(COUNTIFS(Matches!$B$2:$B$501,A130,Matches!$L$2:$L$501,"&lt;&gt;Withdrawn")&gt;0,"Matched","Waiting"))</f>
        <v/>
      </c>
    </row>
    <row r="131">
      <c r="A131" s="24" t="inlineStr">
        <is>
          <t>U-130</t>
        </is>
      </c>
      <c r="B131" s="30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>
        <f>IF(D131="","",IF(COUNTIFS(Matches!$B$2:$B$501,A131,Matches!$L$2:$L$501,"&lt;&gt;Withdrawn")&gt;0,"Matched","Waiting"))</f>
        <v/>
      </c>
    </row>
    <row r="132">
      <c r="A132" s="24" t="inlineStr">
        <is>
          <t>U-131</t>
        </is>
      </c>
      <c r="B132" s="30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>
        <f>IF(D132="","",IF(COUNTIFS(Matches!$B$2:$B$501,A132,Matches!$L$2:$L$501,"&lt;&gt;Withdrawn")&gt;0,"Matched","Waiting"))</f>
        <v/>
      </c>
    </row>
    <row r="133">
      <c r="A133" s="24" t="inlineStr">
        <is>
          <t>U-132</t>
        </is>
      </c>
      <c r="B133" s="30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>
        <f>IF(D133="","",IF(COUNTIFS(Matches!$B$2:$B$501,A133,Matches!$L$2:$L$501,"&lt;&gt;Withdrawn")&gt;0,"Matched","Waiting"))</f>
        <v/>
      </c>
    </row>
    <row r="134">
      <c r="A134" s="24" t="inlineStr">
        <is>
          <t>U-133</t>
        </is>
      </c>
      <c r="B134" s="30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>
        <f>IF(D134="","",IF(COUNTIFS(Matches!$B$2:$B$501,A134,Matches!$L$2:$L$501,"&lt;&gt;Withdrawn")&gt;0,"Matched","Waiting"))</f>
        <v/>
      </c>
    </row>
    <row r="135">
      <c r="A135" s="24" t="inlineStr">
        <is>
          <t>U-134</t>
        </is>
      </c>
      <c r="B135" s="30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>
        <f>IF(D135="","",IF(COUNTIFS(Matches!$B$2:$B$501,A135,Matches!$L$2:$L$501,"&lt;&gt;Withdrawn")&gt;0,"Matched","Waiting"))</f>
        <v/>
      </c>
    </row>
    <row r="136">
      <c r="A136" s="24" t="inlineStr">
        <is>
          <t>U-135</t>
        </is>
      </c>
      <c r="B136" s="30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>
        <f>IF(D136="","",IF(COUNTIFS(Matches!$B$2:$B$501,A136,Matches!$L$2:$L$501,"&lt;&gt;Withdrawn")&gt;0,"Matched","Waiting"))</f>
        <v/>
      </c>
    </row>
    <row r="137">
      <c r="A137" s="24" t="inlineStr">
        <is>
          <t>U-136</t>
        </is>
      </c>
      <c r="B137" s="30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>
        <f>IF(D137="","",IF(COUNTIFS(Matches!$B$2:$B$501,A137,Matches!$L$2:$L$501,"&lt;&gt;Withdrawn")&gt;0,"Matched","Waiting"))</f>
        <v/>
      </c>
    </row>
    <row r="138">
      <c r="A138" s="24" t="inlineStr">
        <is>
          <t>U-137</t>
        </is>
      </c>
      <c r="B138" s="30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>
        <f>IF(D138="","",IF(COUNTIFS(Matches!$B$2:$B$501,A138,Matches!$L$2:$L$501,"&lt;&gt;Withdrawn")&gt;0,"Matched","Waiting"))</f>
        <v/>
      </c>
    </row>
    <row r="139">
      <c r="A139" s="24" t="inlineStr">
        <is>
          <t>U-138</t>
        </is>
      </c>
      <c r="B139" s="30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>
        <f>IF(D139="","",IF(COUNTIFS(Matches!$B$2:$B$501,A139,Matches!$L$2:$L$501,"&lt;&gt;Withdrawn")&gt;0,"Matched","Waiting"))</f>
        <v/>
      </c>
    </row>
    <row r="140">
      <c r="A140" s="24" t="inlineStr">
        <is>
          <t>U-139</t>
        </is>
      </c>
      <c r="B140" s="30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>
        <f>IF(D140="","",IF(COUNTIFS(Matches!$B$2:$B$501,A140,Matches!$L$2:$L$501,"&lt;&gt;Withdrawn")&gt;0,"Matched","Waiting"))</f>
        <v/>
      </c>
    </row>
    <row r="141">
      <c r="A141" s="24" t="inlineStr">
        <is>
          <t>U-140</t>
        </is>
      </c>
      <c r="B141" s="30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>
        <f>IF(D141="","",IF(COUNTIFS(Matches!$B$2:$B$501,A141,Matches!$L$2:$L$501,"&lt;&gt;Withdrawn")&gt;0,"Matched","Waiting"))</f>
        <v/>
      </c>
    </row>
    <row r="142">
      <c r="A142" s="24" t="inlineStr">
        <is>
          <t>U-141</t>
        </is>
      </c>
      <c r="B142" s="30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>
        <f>IF(D142="","",IF(COUNTIFS(Matches!$B$2:$B$501,A142,Matches!$L$2:$L$501,"&lt;&gt;Withdrawn")&gt;0,"Matched","Waiting"))</f>
        <v/>
      </c>
    </row>
    <row r="143">
      <c r="A143" s="24" t="inlineStr">
        <is>
          <t>U-142</t>
        </is>
      </c>
      <c r="B143" s="30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>
        <f>IF(D143="","",IF(COUNTIFS(Matches!$B$2:$B$501,A143,Matches!$L$2:$L$501,"&lt;&gt;Withdrawn")&gt;0,"Matched","Waiting"))</f>
        <v/>
      </c>
    </row>
    <row r="144">
      <c r="A144" s="24" t="inlineStr">
        <is>
          <t>U-143</t>
        </is>
      </c>
      <c r="B144" s="30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>
        <f>IF(D144="","",IF(COUNTIFS(Matches!$B$2:$B$501,A144,Matches!$L$2:$L$501,"&lt;&gt;Withdrawn")&gt;0,"Matched","Waiting"))</f>
        <v/>
      </c>
    </row>
    <row r="145">
      <c r="A145" s="24" t="inlineStr">
        <is>
          <t>U-144</t>
        </is>
      </c>
      <c r="B145" s="30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>
        <f>IF(D145="","",IF(COUNTIFS(Matches!$B$2:$B$501,A145,Matches!$L$2:$L$501,"&lt;&gt;Withdrawn")&gt;0,"Matched","Waiting"))</f>
        <v/>
      </c>
    </row>
    <row r="146">
      <c r="A146" s="24" t="inlineStr">
        <is>
          <t>U-145</t>
        </is>
      </c>
      <c r="B146" s="30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>
        <f>IF(D146="","",IF(COUNTIFS(Matches!$B$2:$B$501,A146,Matches!$L$2:$L$501,"&lt;&gt;Withdrawn")&gt;0,"Matched","Waiting"))</f>
        <v/>
      </c>
    </row>
    <row r="147">
      <c r="A147" s="24" t="inlineStr">
        <is>
          <t>U-146</t>
        </is>
      </c>
      <c r="B147" s="30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>
        <f>IF(D147="","",IF(COUNTIFS(Matches!$B$2:$B$501,A147,Matches!$L$2:$L$501,"&lt;&gt;Withdrawn")&gt;0,"Matched","Waiting"))</f>
        <v/>
      </c>
    </row>
    <row r="148">
      <c r="A148" s="24" t="inlineStr">
        <is>
          <t>U-147</t>
        </is>
      </c>
      <c r="B148" s="30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>
        <f>IF(D148="","",IF(COUNTIFS(Matches!$B$2:$B$501,A148,Matches!$L$2:$L$501,"&lt;&gt;Withdrawn")&gt;0,"Matched","Waiting"))</f>
        <v/>
      </c>
    </row>
    <row r="149">
      <c r="A149" s="24" t="inlineStr">
        <is>
          <t>U-148</t>
        </is>
      </c>
      <c r="B149" s="30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>
        <f>IF(D149="","",IF(COUNTIFS(Matches!$B$2:$B$501,A149,Matches!$L$2:$L$501,"&lt;&gt;Withdrawn")&gt;0,"Matched","Waiting"))</f>
        <v/>
      </c>
    </row>
    <row r="150">
      <c r="A150" s="24" t="inlineStr">
        <is>
          <t>U-149</t>
        </is>
      </c>
      <c r="B150" s="30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>
        <f>IF(D150="","",IF(COUNTIFS(Matches!$B$2:$B$501,A150,Matches!$L$2:$L$501,"&lt;&gt;Withdrawn")&gt;0,"Matched","Waiting"))</f>
        <v/>
      </c>
    </row>
    <row r="151">
      <c r="A151" s="24" t="inlineStr">
        <is>
          <t>U-150</t>
        </is>
      </c>
      <c r="B151" s="30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>
        <f>IF(D151="","",IF(COUNTIFS(Matches!$B$2:$B$501,A151,Matches!$L$2:$L$501,"&lt;&gt;Withdrawn")&gt;0,"Matched","Waiting"))</f>
        <v/>
      </c>
    </row>
    <row r="152">
      <c r="A152" s="24" t="inlineStr">
        <is>
          <t>U-151</t>
        </is>
      </c>
      <c r="B152" s="30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>
        <f>IF(D152="","",IF(COUNTIFS(Matches!$B$2:$B$501,A152,Matches!$L$2:$L$501,"&lt;&gt;Withdrawn")&gt;0,"Matched","Waiting"))</f>
        <v/>
      </c>
    </row>
    <row r="153">
      <c r="A153" s="24" t="inlineStr">
        <is>
          <t>U-152</t>
        </is>
      </c>
      <c r="B153" s="30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>
        <f>IF(D153="","",IF(COUNTIFS(Matches!$B$2:$B$501,A153,Matches!$L$2:$L$501,"&lt;&gt;Withdrawn")&gt;0,"Matched","Waiting"))</f>
        <v/>
      </c>
    </row>
    <row r="154">
      <c r="A154" s="24" t="inlineStr">
        <is>
          <t>U-153</t>
        </is>
      </c>
      <c r="B154" s="30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>
        <f>IF(D154="","",IF(COUNTIFS(Matches!$B$2:$B$501,A154,Matches!$L$2:$L$501,"&lt;&gt;Withdrawn")&gt;0,"Matched","Waiting"))</f>
        <v/>
      </c>
    </row>
    <row r="155">
      <c r="A155" s="24" t="inlineStr">
        <is>
          <t>U-154</t>
        </is>
      </c>
      <c r="B155" s="30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>
        <f>IF(D155="","",IF(COUNTIFS(Matches!$B$2:$B$501,A155,Matches!$L$2:$L$501,"&lt;&gt;Withdrawn")&gt;0,"Matched","Waiting"))</f>
        <v/>
      </c>
    </row>
    <row r="156">
      <c r="A156" s="24" t="inlineStr">
        <is>
          <t>U-155</t>
        </is>
      </c>
      <c r="B156" s="30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>
        <f>IF(D156="","",IF(COUNTIFS(Matches!$B$2:$B$501,A156,Matches!$L$2:$L$501,"&lt;&gt;Withdrawn")&gt;0,"Matched","Waiting"))</f>
        <v/>
      </c>
    </row>
    <row r="157">
      <c r="A157" s="24" t="inlineStr">
        <is>
          <t>U-156</t>
        </is>
      </c>
      <c r="B157" s="30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>
        <f>IF(D157="","",IF(COUNTIFS(Matches!$B$2:$B$501,A157,Matches!$L$2:$L$501,"&lt;&gt;Withdrawn")&gt;0,"Matched","Waiting"))</f>
        <v/>
      </c>
    </row>
    <row r="158">
      <c r="A158" s="24" t="inlineStr">
        <is>
          <t>U-157</t>
        </is>
      </c>
      <c r="B158" s="30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>
        <f>IF(D158="","",IF(COUNTIFS(Matches!$B$2:$B$501,A158,Matches!$L$2:$L$501,"&lt;&gt;Withdrawn")&gt;0,"Matched","Waiting"))</f>
        <v/>
      </c>
    </row>
    <row r="159">
      <c r="A159" s="24" t="inlineStr">
        <is>
          <t>U-158</t>
        </is>
      </c>
      <c r="B159" s="30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>
        <f>IF(D159="","",IF(COUNTIFS(Matches!$B$2:$B$501,A159,Matches!$L$2:$L$501,"&lt;&gt;Withdrawn")&gt;0,"Matched","Waiting"))</f>
        <v/>
      </c>
    </row>
    <row r="160">
      <c r="A160" s="24" t="inlineStr">
        <is>
          <t>U-159</t>
        </is>
      </c>
      <c r="B160" s="30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>
        <f>IF(D160="","",IF(COUNTIFS(Matches!$B$2:$B$501,A160,Matches!$L$2:$L$501,"&lt;&gt;Withdrawn")&gt;0,"Matched","Waiting"))</f>
        <v/>
      </c>
    </row>
    <row r="161">
      <c r="A161" s="24" t="inlineStr">
        <is>
          <t>U-160</t>
        </is>
      </c>
      <c r="B161" s="30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>
        <f>IF(D161="","",IF(COUNTIFS(Matches!$B$2:$B$501,A161,Matches!$L$2:$L$501,"&lt;&gt;Withdrawn")&gt;0,"Matched","Waiting"))</f>
        <v/>
      </c>
    </row>
    <row r="162">
      <c r="A162" s="24" t="inlineStr">
        <is>
          <t>U-161</t>
        </is>
      </c>
      <c r="B162" s="30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>
        <f>IF(D162="","",IF(COUNTIFS(Matches!$B$2:$B$501,A162,Matches!$L$2:$L$501,"&lt;&gt;Withdrawn")&gt;0,"Matched","Waiting"))</f>
        <v/>
      </c>
    </row>
    <row r="163">
      <c r="A163" s="24" t="inlineStr">
        <is>
          <t>U-162</t>
        </is>
      </c>
      <c r="B163" s="30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>
        <f>IF(D163="","",IF(COUNTIFS(Matches!$B$2:$B$501,A163,Matches!$L$2:$L$501,"&lt;&gt;Withdrawn")&gt;0,"Matched","Waiting"))</f>
        <v/>
      </c>
    </row>
    <row r="164">
      <c r="A164" s="24" t="inlineStr">
        <is>
          <t>U-163</t>
        </is>
      </c>
      <c r="B164" s="30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>
        <f>IF(D164="","",IF(COUNTIFS(Matches!$B$2:$B$501,A164,Matches!$L$2:$L$501,"&lt;&gt;Withdrawn")&gt;0,"Matched","Waiting"))</f>
        <v/>
      </c>
    </row>
    <row r="165">
      <c r="A165" s="24" t="inlineStr">
        <is>
          <t>U-164</t>
        </is>
      </c>
      <c r="B165" s="30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>
        <f>IF(D165="","",IF(COUNTIFS(Matches!$B$2:$B$501,A165,Matches!$L$2:$L$501,"&lt;&gt;Withdrawn")&gt;0,"Matched","Waiting"))</f>
        <v/>
      </c>
    </row>
    <row r="166">
      <c r="A166" s="24" t="inlineStr">
        <is>
          <t>U-165</t>
        </is>
      </c>
      <c r="B166" s="30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>
        <f>IF(D166="","",IF(COUNTIFS(Matches!$B$2:$B$501,A166,Matches!$L$2:$L$501,"&lt;&gt;Withdrawn")&gt;0,"Matched","Waiting"))</f>
        <v/>
      </c>
    </row>
    <row r="167">
      <c r="A167" s="24" t="inlineStr">
        <is>
          <t>U-166</t>
        </is>
      </c>
      <c r="B167" s="30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>
        <f>IF(D167="","",IF(COUNTIFS(Matches!$B$2:$B$501,A167,Matches!$L$2:$L$501,"&lt;&gt;Withdrawn")&gt;0,"Matched","Waiting"))</f>
        <v/>
      </c>
    </row>
    <row r="168">
      <c r="A168" s="24" t="inlineStr">
        <is>
          <t>U-167</t>
        </is>
      </c>
      <c r="B168" s="30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>
        <f>IF(D168="","",IF(COUNTIFS(Matches!$B$2:$B$501,A168,Matches!$L$2:$L$501,"&lt;&gt;Withdrawn")&gt;0,"Matched","Waiting"))</f>
        <v/>
      </c>
    </row>
    <row r="169">
      <c r="A169" s="24" t="inlineStr">
        <is>
          <t>U-168</t>
        </is>
      </c>
      <c r="B169" s="30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>
        <f>IF(D169="","",IF(COUNTIFS(Matches!$B$2:$B$501,A169,Matches!$L$2:$L$501,"&lt;&gt;Withdrawn")&gt;0,"Matched","Waiting"))</f>
        <v/>
      </c>
    </row>
    <row r="170">
      <c r="A170" s="24" t="inlineStr">
        <is>
          <t>U-169</t>
        </is>
      </c>
      <c r="B170" s="30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>
        <f>IF(D170="","",IF(COUNTIFS(Matches!$B$2:$B$501,A170,Matches!$L$2:$L$501,"&lt;&gt;Withdrawn")&gt;0,"Matched","Waiting"))</f>
        <v/>
      </c>
    </row>
    <row r="171">
      <c r="A171" s="24" t="inlineStr">
        <is>
          <t>U-170</t>
        </is>
      </c>
      <c r="B171" s="30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>
        <f>IF(D171="","",IF(COUNTIFS(Matches!$B$2:$B$501,A171,Matches!$L$2:$L$501,"&lt;&gt;Withdrawn")&gt;0,"Matched","Waiting"))</f>
        <v/>
      </c>
    </row>
    <row r="172">
      <c r="A172" s="24" t="inlineStr">
        <is>
          <t>U-171</t>
        </is>
      </c>
      <c r="B172" s="30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>
        <f>IF(D172="","",IF(COUNTIFS(Matches!$B$2:$B$501,A172,Matches!$L$2:$L$501,"&lt;&gt;Withdrawn")&gt;0,"Matched","Waiting"))</f>
        <v/>
      </c>
    </row>
    <row r="173">
      <c r="A173" s="24" t="inlineStr">
        <is>
          <t>U-172</t>
        </is>
      </c>
      <c r="B173" s="30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>
        <f>IF(D173="","",IF(COUNTIFS(Matches!$B$2:$B$501,A173,Matches!$L$2:$L$501,"&lt;&gt;Withdrawn")&gt;0,"Matched","Waiting"))</f>
        <v/>
      </c>
    </row>
    <row r="174">
      <c r="A174" s="24" t="inlineStr">
        <is>
          <t>U-173</t>
        </is>
      </c>
      <c r="B174" s="30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>
        <f>IF(D174="","",IF(COUNTIFS(Matches!$B$2:$B$501,A174,Matches!$L$2:$L$501,"&lt;&gt;Withdrawn")&gt;0,"Matched","Waiting"))</f>
        <v/>
      </c>
    </row>
    <row r="175">
      <c r="A175" s="24" t="inlineStr">
        <is>
          <t>U-174</t>
        </is>
      </c>
      <c r="B175" s="30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>
        <f>IF(D175="","",IF(COUNTIFS(Matches!$B$2:$B$501,A175,Matches!$L$2:$L$501,"&lt;&gt;Withdrawn")&gt;0,"Matched","Waiting"))</f>
        <v/>
      </c>
    </row>
    <row r="176">
      <c r="A176" s="24" t="inlineStr">
        <is>
          <t>U-175</t>
        </is>
      </c>
      <c r="B176" s="30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>
        <f>IF(D176="","",IF(COUNTIFS(Matches!$B$2:$B$501,A176,Matches!$L$2:$L$501,"&lt;&gt;Withdrawn")&gt;0,"Matched","Waiting"))</f>
        <v/>
      </c>
    </row>
    <row r="177">
      <c r="A177" s="24" t="inlineStr">
        <is>
          <t>U-176</t>
        </is>
      </c>
      <c r="B177" s="30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>
        <f>IF(D177="","",IF(COUNTIFS(Matches!$B$2:$B$501,A177,Matches!$L$2:$L$501,"&lt;&gt;Withdrawn")&gt;0,"Matched","Waiting"))</f>
        <v/>
      </c>
    </row>
    <row r="178">
      <c r="A178" s="24" t="inlineStr">
        <is>
          <t>U-177</t>
        </is>
      </c>
      <c r="B178" s="30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>
        <f>IF(D178="","",IF(COUNTIFS(Matches!$B$2:$B$501,A178,Matches!$L$2:$L$501,"&lt;&gt;Withdrawn")&gt;0,"Matched","Waiting"))</f>
        <v/>
      </c>
    </row>
    <row r="179">
      <c r="A179" s="24" t="inlineStr">
        <is>
          <t>U-178</t>
        </is>
      </c>
      <c r="B179" s="30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>
        <f>IF(D179="","",IF(COUNTIFS(Matches!$B$2:$B$501,A179,Matches!$L$2:$L$501,"&lt;&gt;Withdrawn")&gt;0,"Matched","Waiting"))</f>
        <v/>
      </c>
    </row>
    <row r="180">
      <c r="A180" s="24" t="inlineStr">
        <is>
          <t>U-179</t>
        </is>
      </c>
      <c r="B180" s="30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>
        <f>IF(D180="","",IF(COUNTIFS(Matches!$B$2:$B$501,A180,Matches!$L$2:$L$501,"&lt;&gt;Withdrawn")&gt;0,"Matched","Waiting"))</f>
        <v/>
      </c>
    </row>
    <row r="181">
      <c r="A181" s="24" t="inlineStr">
        <is>
          <t>U-180</t>
        </is>
      </c>
      <c r="B181" s="30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>
        <f>IF(D181="","",IF(COUNTIFS(Matches!$B$2:$B$501,A181,Matches!$L$2:$L$501,"&lt;&gt;Withdrawn")&gt;0,"Matched","Waiting"))</f>
        <v/>
      </c>
    </row>
    <row r="182">
      <c r="A182" s="24" t="inlineStr">
        <is>
          <t>U-181</t>
        </is>
      </c>
      <c r="B182" s="30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>
        <f>IF(D182="","",IF(COUNTIFS(Matches!$B$2:$B$501,A182,Matches!$L$2:$L$501,"&lt;&gt;Withdrawn")&gt;0,"Matched","Waiting"))</f>
        <v/>
      </c>
    </row>
    <row r="183">
      <c r="A183" s="24" t="inlineStr">
        <is>
          <t>U-182</t>
        </is>
      </c>
      <c r="B183" s="30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>
        <f>IF(D183="","",IF(COUNTIFS(Matches!$B$2:$B$501,A183,Matches!$L$2:$L$501,"&lt;&gt;Withdrawn")&gt;0,"Matched","Waiting"))</f>
        <v/>
      </c>
    </row>
    <row r="184">
      <c r="A184" s="24" t="inlineStr">
        <is>
          <t>U-183</t>
        </is>
      </c>
      <c r="B184" s="30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>
        <f>IF(D184="","",IF(COUNTIFS(Matches!$B$2:$B$501,A184,Matches!$L$2:$L$501,"&lt;&gt;Withdrawn")&gt;0,"Matched","Waiting"))</f>
        <v/>
      </c>
    </row>
    <row r="185">
      <c r="A185" s="24" t="inlineStr">
        <is>
          <t>U-184</t>
        </is>
      </c>
      <c r="B185" s="30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>
        <f>IF(D185="","",IF(COUNTIFS(Matches!$B$2:$B$501,A185,Matches!$L$2:$L$501,"&lt;&gt;Withdrawn")&gt;0,"Matched","Waiting"))</f>
        <v/>
      </c>
    </row>
    <row r="186">
      <c r="A186" s="24" t="inlineStr">
        <is>
          <t>U-185</t>
        </is>
      </c>
      <c r="B186" s="30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>
        <f>IF(D186="","",IF(COUNTIFS(Matches!$B$2:$B$501,A186,Matches!$L$2:$L$501,"&lt;&gt;Withdrawn")&gt;0,"Matched","Waiting"))</f>
        <v/>
      </c>
    </row>
    <row r="187">
      <c r="A187" s="24" t="inlineStr">
        <is>
          <t>U-186</t>
        </is>
      </c>
      <c r="B187" s="30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>
        <f>IF(D187="","",IF(COUNTIFS(Matches!$B$2:$B$501,A187,Matches!$L$2:$L$501,"&lt;&gt;Withdrawn")&gt;0,"Matched","Waiting"))</f>
        <v/>
      </c>
    </row>
    <row r="188">
      <c r="A188" s="24" t="inlineStr">
        <is>
          <t>U-187</t>
        </is>
      </c>
      <c r="B188" s="30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>
        <f>IF(D188="","",IF(COUNTIFS(Matches!$B$2:$B$501,A188,Matches!$L$2:$L$501,"&lt;&gt;Withdrawn")&gt;0,"Matched","Waiting"))</f>
        <v/>
      </c>
    </row>
    <row r="189">
      <c r="A189" s="24" t="inlineStr">
        <is>
          <t>U-188</t>
        </is>
      </c>
      <c r="B189" s="30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>
        <f>IF(D189="","",IF(COUNTIFS(Matches!$B$2:$B$501,A189,Matches!$L$2:$L$501,"&lt;&gt;Withdrawn")&gt;0,"Matched","Waiting"))</f>
        <v/>
      </c>
    </row>
    <row r="190">
      <c r="A190" s="24" t="inlineStr">
        <is>
          <t>U-189</t>
        </is>
      </c>
      <c r="B190" s="30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>
        <f>IF(D190="","",IF(COUNTIFS(Matches!$B$2:$B$501,A190,Matches!$L$2:$L$501,"&lt;&gt;Withdrawn")&gt;0,"Matched","Waiting"))</f>
        <v/>
      </c>
    </row>
    <row r="191">
      <c r="A191" s="24" t="inlineStr">
        <is>
          <t>U-190</t>
        </is>
      </c>
      <c r="B191" s="30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>
        <f>IF(D191="","",IF(COUNTIFS(Matches!$B$2:$B$501,A191,Matches!$L$2:$L$501,"&lt;&gt;Withdrawn")&gt;0,"Matched","Waiting"))</f>
        <v/>
      </c>
    </row>
    <row r="192">
      <c r="A192" s="24" t="inlineStr">
        <is>
          <t>U-191</t>
        </is>
      </c>
      <c r="B192" s="30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>
        <f>IF(D192="","",IF(COUNTIFS(Matches!$B$2:$B$501,A192,Matches!$L$2:$L$501,"&lt;&gt;Withdrawn")&gt;0,"Matched","Waiting"))</f>
        <v/>
      </c>
    </row>
    <row r="193">
      <c r="A193" s="24" t="inlineStr">
        <is>
          <t>U-192</t>
        </is>
      </c>
      <c r="B193" s="30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>
        <f>IF(D193="","",IF(COUNTIFS(Matches!$B$2:$B$501,A193,Matches!$L$2:$L$501,"&lt;&gt;Withdrawn")&gt;0,"Matched","Waiting"))</f>
        <v/>
      </c>
    </row>
    <row r="194">
      <c r="A194" s="24" t="inlineStr">
        <is>
          <t>U-193</t>
        </is>
      </c>
      <c r="B194" s="30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>
        <f>IF(D194="","",IF(COUNTIFS(Matches!$B$2:$B$501,A194,Matches!$L$2:$L$501,"&lt;&gt;Withdrawn")&gt;0,"Matched","Waiting"))</f>
        <v/>
      </c>
    </row>
    <row r="195">
      <c r="A195" s="24" t="inlineStr">
        <is>
          <t>U-194</t>
        </is>
      </c>
      <c r="B195" s="30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>
        <f>IF(D195="","",IF(COUNTIFS(Matches!$B$2:$B$501,A195,Matches!$L$2:$L$501,"&lt;&gt;Withdrawn")&gt;0,"Matched","Waiting"))</f>
        <v/>
      </c>
    </row>
    <row r="196">
      <c r="A196" s="24" t="inlineStr">
        <is>
          <t>U-195</t>
        </is>
      </c>
      <c r="B196" s="30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>
        <f>IF(D196="","",IF(COUNTIFS(Matches!$B$2:$B$501,A196,Matches!$L$2:$L$501,"&lt;&gt;Withdrawn")&gt;0,"Matched","Waiting"))</f>
        <v/>
      </c>
    </row>
    <row r="197">
      <c r="A197" s="24" t="inlineStr">
        <is>
          <t>U-196</t>
        </is>
      </c>
      <c r="B197" s="30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>
        <f>IF(D197="","",IF(COUNTIFS(Matches!$B$2:$B$501,A197,Matches!$L$2:$L$501,"&lt;&gt;Withdrawn")&gt;0,"Matched","Waiting"))</f>
        <v/>
      </c>
    </row>
    <row r="198">
      <c r="A198" s="24" t="inlineStr">
        <is>
          <t>U-197</t>
        </is>
      </c>
      <c r="B198" s="30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>
        <f>IF(D198="","",IF(COUNTIFS(Matches!$B$2:$B$501,A198,Matches!$L$2:$L$501,"&lt;&gt;Withdrawn")&gt;0,"Matched","Waiting"))</f>
        <v/>
      </c>
    </row>
    <row r="199">
      <c r="A199" s="24" t="inlineStr">
        <is>
          <t>U-198</t>
        </is>
      </c>
      <c r="B199" s="30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>
        <f>IF(D199="","",IF(COUNTIFS(Matches!$B$2:$B$501,A199,Matches!$L$2:$L$501,"&lt;&gt;Withdrawn")&gt;0,"Matched","Waiting"))</f>
        <v/>
      </c>
    </row>
    <row r="200">
      <c r="A200" s="24" t="inlineStr">
        <is>
          <t>U-199</t>
        </is>
      </c>
      <c r="B200" s="30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>
        <f>IF(D200="","",IF(COUNTIFS(Matches!$B$2:$B$501,A200,Matches!$L$2:$L$501,"&lt;&gt;Withdrawn")&gt;0,"Matched","Waiting"))</f>
        <v/>
      </c>
    </row>
    <row r="201">
      <c r="A201" s="24" t="inlineStr">
        <is>
          <t>U-200</t>
        </is>
      </c>
      <c r="B201" s="30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>
        <f>IF(D201="","",IF(COUNTIFS(Matches!$B$2:$B$501,A201,Matches!$L$2:$L$501,"&lt;&gt;Withdrawn")&gt;0,"Matched","Waiting"))</f>
        <v/>
      </c>
    </row>
    <row r="202">
      <c r="A202" s="24" t="inlineStr">
        <is>
          <t>U-201</t>
        </is>
      </c>
      <c r="B202" s="30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>
        <f>IF(D202="","",IF(COUNTIFS(Matches!$B$2:$B$501,A202,Matches!$L$2:$L$501,"&lt;&gt;Withdrawn")&gt;0,"Matched","Waiting"))</f>
        <v/>
      </c>
    </row>
    <row r="203">
      <c r="A203" s="24" t="inlineStr">
        <is>
          <t>U-202</t>
        </is>
      </c>
      <c r="B203" s="30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>
        <f>IF(D203="","",IF(COUNTIFS(Matches!$B$2:$B$501,A203,Matches!$L$2:$L$501,"&lt;&gt;Withdrawn")&gt;0,"Matched","Waiting"))</f>
        <v/>
      </c>
    </row>
    <row r="204">
      <c r="A204" s="24" t="inlineStr">
        <is>
          <t>U-203</t>
        </is>
      </c>
      <c r="B204" s="30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>
        <f>IF(D204="","",IF(COUNTIFS(Matches!$B$2:$B$501,A204,Matches!$L$2:$L$501,"&lt;&gt;Withdrawn")&gt;0,"Matched","Waiting"))</f>
        <v/>
      </c>
    </row>
    <row r="205">
      <c r="A205" s="24" t="inlineStr">
        <is>
          <t>U-204</t>
        </is>
      </c>
      <c r="B205" s="30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>
        <f>IF(D205="","",IF(COUNTIFS(Matches!$B$2:$B$501,A205,Matches!$L$2:$L$501,"&lt;&gt;Withdrawn")&gt;0,"Matched","Waiting"))</f>
        <v/>
      </c>
    </row>
    <row r="206">
      <c r="A206" s="24" t="inlineStr">
        <is>
          <t>U-205</t>
        </is>
      </c>
      <c r="B206" s="30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>
        <f>IF(D206="","",IF(COUNTIFS(Matches!$B$2:$B$501,A206,Matches!$L$2:$L$501,"&lt;&gt;Withdrawn")&gt;0,"Matched","Waiting"))</f>
        <v/>
      </c>
    </row>
    <row r="207">
      <c r="A207" s="24" t="inlineStr">
        <is>
          <t>U-206</t>
        </is>
      </c>
      <c r="B207" s="30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>
        <f>IF(D207="","",IF(COUNTIFS(Matches!$B$2:$B$501,A207,Matches!$L$2:$L$501,"&lt;&gt;Withdrawn")&gt;0,"Matched","Waiting"))</f>
        <v/>
      </c>
    </row>
    <row r="208">
      <c r="A208" s="24" t="inlineStr">
        <is>
          <t>U-207</t>
        </is>
      </c>
      <c r="B208" s="30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>
        <f>IF(D208="","",IF(COUNTIFS(Matches!$B$2:$B$501,A208,Matches!$L$2:$L$501,"&lt;&gt;Withdrawn")&gt;0,"Matched","Waiting"))</f>
        <v/>
      </c>
    </row>
    <row r="209">
      <c r="A209" s="24" t="inlineStr">
        <is>
          <t>U-208</t>
        </is>
      </c>
      <c r="B209" s="30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>
        <f>IF(D209="","",IF(COUNTIFS(Matches!$B$2:$B$501,A209,Matches!$L$2:$L$501,"&lt;&gt;Withdrawn")&gt;0,"Matched","Waiting"))</f>
        <v/>
      </c>
    </row>
    <row r="210">
      <c r="A210" s="24" t="inlineStr">
        <is>
          <t>U-209</t>
        </is>
      </c>
      <c r="B210" s="30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>
        <f>IF(D210="","",IF(COUNTIFS(Matches!$B$2:$B$501,A210,Matches!$L$2:$L$501,"&lt;&gt;Withdrawn")&gt;0,"Matched","Waiting"))</f>
        <v/>
      </c>
    </row>
    <row r="211">
      <c r="A211" s="24" t="inlineStr">
        <is>
          <t>U-210</t>
        </is>
      </c>
      <c r="B211" s="30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>
        <f>IF(D211="","",IF(COUNTIFS(Matches!$B$2:$B$501,A211,Matches!$L$2:$L$501,"&lt;&gt;Withdrawn")&gt;0,"Matched","Waiting"))</f>
        <v/>
      </c>
    </row>
    <row r="212">
      <c r="A212" s="24" t="inlineStr">
        <is>
          <t>U-211</t>
        </is>
      </c>
      <c r="B212" s="30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>
        <f>IF(D212="","",IF(COUNTIFS(Matches!$B$2:$B$501,A212,Matches!$L$2:$L$501,"&lt;&gt;Withdrawn")&gt;0,"Matched","Waiting"))</f>
        <v/>
      </c>
    </row>
    <row r="213">
      <c r="A213" s="24" t="inlineStr">
        <is>
          <t>U-212</t>
        </is>
      </c>
      <c r="B213" s="30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>
        <f>IF(D213="","",IF(COUNTIFS(Matches!$B$2:$B$501,A213,Matches!$L$2:$L$501,"&lt;&gt;Withdrawn")&gt;0,"Matched","Waiting"))</f>
        <v/>
      </c>
    </row>
    <row r="214">
      <c r="A214" s="24" t="inlineStr">
        <is>
          <t>U-213</t>
        </is>
      </c>
      <c r="B214" s="30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>
        <f>IF(D214="","",IF(COUNTIFS(Matches!$B$2:$B$501,A214,Matches!$L$2:$L$501,"&lt;&gt;Withdrawn")&gt;0,"Matched","Waiting"))</f>
        <v/>
      </c>
    </row>
    <row r="215">
      <c r="A215" s="24" t="inlineStr">
        <is>
          <t>U-214</t>
        </is>
      </c>
      <c r="B215" s="30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>
        <f>IF(D215="","",IF(COUNTIFS(Matches!$B$2:$B$501,A215,Matches!$L$2:$L$501,"&lt;&gt;Withdrawn")&gt;0,"Matched","Waiting"))</f>
        <v/>
      </c>
    </row>
    <row r="216">
      <c r="A216" s="24" t="inlineStr">
        <is>
          <t>U-215</t>
        </is>
      </c>
      <c r="B216" s="30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>
        <f>IF(D216="","",IF(COUNTIFS(Matches!$B$2:$B$501,A216,Matches!$L$2:$L$501,"&lt;&gt;Withdrawn")&gt;0,"Matched","Waiting"))</f>
        <v/>
      </c>
    </row>
    <row r="217">
      <c r="A217" s="24" t="inlineStr">
        <is>
          <t>U-216</t>
        </is>
      </c>
      <c r="B217" s="30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>
        <f>IF(D217="","",IF(COUNTIFS(Matches!$B$2:$B$501,A217,Matches!$L$2:$L$501,"&lt;&gt;Withdrawn")&gt;0,"Matched","Waiting"))</f>
        <v/>
      </c>
    </row>
    <row r="218">
      <c r="A218" s="24" t="inlineStr">
        <is>
          <t>U-217</t>
        </is>
      </c>
      <c r="B218" s="30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>
        <f>IF(D218="","",IF(COUNTIFS(Matches!$B$2:$B$501,A218,Matches!$L$2:$L$501,"&lt;&gt;Withdrawn")&gt;0,"Matched","Waiting"))</f>
        <v/>
      </c>
    </row>
    <row r="219">
      <c r="A219" s="24" t="inlineStr">
        <is>
          <t>U-218</t>
        </is>
      </c>
      <c r="B219" s="30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>
        <f>IF(D219="","",IF(COUNTIFS(Matches!$B$2:$B$501,A219,Matches!$L$2:$L$501,"&lt;&gt;Withdrawn")&gt;0,"Matched","Waiting"))</f>
        <v/>
      </c>
    </row>
    <row r="220">
      <c r="A220" s="24" t="inlineStr">
        <is>
          <t>U-219</t>
        </is>
      </c>
      <c r="B220" s="30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>
        <f>IF(D220="","",IF(COUNTIFS(Matches!$B$2:$B$501,A220,Matches!$L$2:$L$501,"&lt;&gt;Withdrawn")&gt;0,"Matched","Waiting"))</f>
        <v/>
      </c>
    </row>
    <row r="221">
      <c r="A221" s="24" t="inlineStr">
        <is>
          <t>U-220</t>
        </is>
      </c>
      <c r="B221" s="30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>
        <f>IF(D221="","",IF(COUNTIFS(Matches!$B$2:$B$501,A221,Matches!$L$2:$L$501,"&lt;&gt;Withdrawn")&gt;0,"Matched","Waiting"))</f>
        <v/>
      </c>
    </row>
    <row r="222">
      <c r="A222" s="24" t="inlineStr">
        <is>
          <t>U-221</t>
        </is>
      </c>
      <c r="B222" s="30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>
        <f>IF(D222="","",IF(COUNTIFS(Matches!$B$2:$B$501,A222,Matches!$L$2:$L$501,"&lt;&gt;Withdrawn")&gt;0,"Matched","Waiting"))</f>
        <v/>
      </c>
    </row>
    <row r="223">
      <c r="A223" s="24" t="inlineStr">
        <is>
          <t>U-222</t>
        </is>
      </c>
      <c r="B223" s="30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>
        <f>IF(D223="","",IF(COUNTIFS(Matches!$B$2:$B$501,A223,Matches!$L$2:$L$501,"&lt;&gt;Withdrawn")&gt;0,"Matched","Waiting"))</f>
        <v/>
      </c>
    </row>
    <row r="224">
      <c r="A224" s="24" t="inlineStr">
        <is>
          <t>U-223</t>
        </is>
      </c>
      <c r="B224" s="30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>
        <f>IF(D224="","",IF(COUNTIFS(Matches!$B$2:$B$501,A224,Matches!$L$2:$L$501,"&lt;&gt;Withdrawn")&gt;0,"Matched","Waiting"))</f>
        <v/>
      </c>
    </row>
    <row r="225">
      <c r="A225" s="24" t="inlineStr">
        <is>
          <t>U-224</t>
        </is>
      </c>
      <c r="B225" s="30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>
        <f>IF(D225="","",IF(COUNTIFS(Matches!$B$2:$B$501,A225,Matches!$L$2:$L$501,"&lt;&gt;Withdrawn")&gt;0,"Matched","Waiting"))</f>
        <v/>
      </c>
    </row>
    <row r="226">
      <c r="A226" s="24" t="inlineStr">
        <is>
          <t>U-225</t>
        </is>
      </c>
      <c r="B226" s="30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>
        <f>IF(D226="","",IF(COUNTIFS(Matches!$B$2:$B$501,A226,Matches!$L$2:$L$501,"&lt;&gt;Withdrawn")&gt;0,"Matched","Waiting"))</f>
        <v/>
      </c>
    </row>
    <row r="227">
      <c r="A227" s="24" t="inlineStr">
        <is>
          <t>U-226</t>
        </is>
      </c>
      <c r="B227" s="30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>
        <f>IF(D227="","",IF(COUNTIFS(Matches!$B$2:$B$501,A227,Matches!$L$2:$L$501,"&lt;&gt;Withdrawn")&gt;0,"Matched","Waiting"))</f>
        <v/>
      </c>
    </row>
    <row r="228">
      <c r="A228" s="24" t="inlineStr">
        <is>
          <t>U-227</t>
        </is>
      </c>
      <c r="B228" s="30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>
        <f>IF(D228="","",IF(COUNTIFS(Matches!$B$2:$B$501,A228,Matches!$L$2:$L$501,"&lt;&gt;Withdrawn")&gt;0,"Matched","Waiting"))</f>
        <v/>
      </c>
    </row>
    <row r="229">
      <c r="A229" s="24" t="inlineStr">
        <is>
          <t>U-228</t>
        </is>
      </c>
      <c r="B229" s="30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>
        <f>IF(D229="","",IF(COUNTIFS(Matches!$B$2:$B$501,A229,Matches!$L$2:$L$501,"&lt;&gt;Withdrawn")&gt;0,"Matched","Waiting"))</f>
        <v/>
      </c>
    </row>
    <row r="230">
      <c r="A230" s="24" t="inlineStr">
        <is>
          <t>U-229</t>
        </is>
      </c>
      <c r="B230" s="30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>
        <f>IF(D230="","",IF(COUNTIFS(Matches!$B$2:$B$501,A230,Matches!$L$2:$L$501,"&lt;&gt;Withdrawn")&gt;0,"Matched","Waiting"))</f>
        <v/>
      </c>
    </row>
    <row r="231">
      <c r="A231" s="24" t="inlineStr">
        <is>
          <t>U-230</t>
        </is>
      </c>
      <c r="B231" s="30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>
        <f>IF(D231="","",IF(COUNTIFS(Matches!$B$2:$B$501,A231,Matches!$L$2:$L$501,"&lt;&gt;Withdrawn")&gt;0,"Matched","Waiting"))</f>
        <v/>
      </c>
    </row>
    <row r="232">
      <c r="A232" s="24" t="inlineStr">
        <is>
          <t>U-231</t>
        </is>
      </c>
      <c r="B232" s="30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>
        <f>IF(D232="","",IF(COUNTIFS(Matches!$B$2:$B$501,A232,Matches!$L$2:$L$501,"&lt;&gt;Withdrawn")&gt;0,"Matched","Waiting"))</f>
        <v/>
      </c>
    </row>
    <row r="233">
      <c r="A233" s="24" t="inlineStr">
        <is>
          <t>U-232</t>
        </is>
      </c>
      <c r="B233" s="30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>
        <f>IF(D233="","",IF(COUNTIFS(Matches!$B$2:$B$501,A233,Matches!$L$2:$L$501,"&lt;&gt;Withdrawn")&gt;0,"Matched","Waiting"))</f>
        <v/>
      </c>
    </row>
    <row r="234">
      <c r="A234" s="24" t="inlineStr">
        <is>
          <t>U-233</t>
        </is>
      </c>
      <c r="B234" s="30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>
        <f>IF(D234="","",IF(COUNTIFS(Matches!$B$2:$B$501,A234,Matches!$L$2:$L$501,"&lt;&gt;Withdrawn")&gt;0,"Matched","Waiting"))</f>
        <v/>
      </c>
    </row>
    <row r="235">
      <c r="A235" s="24" t="inlineStr">
        <is>
          <t>U-234</t>
        </is>
      </c>
      <c r="B235" s="30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>
        <f>IF(D235="","",IF(COUNTIFS(Matches!$B$2:$B$501,A235,Matches!$L$2:$L$501,"&lt;&gt;Withdrawn")&gt;0,"Matched","Waiting"))</f>
        <v/>
      </c>
    </row>
    <row r="236">
      <c r="A236" s="24" t="inlineStr">
        <is>
          <t>U-235</t>
        </is>
      </c>
      <c r="B236" s="30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>
        <f>IF(D236="","",IF(COUNTIFS(Matches!$B$2:$B$501,A236,Matches!$L$2:$L$501,"&lt;&gt;Withdrawn")&gt;0,"Matched","Waiting"))</f>
        <v/>
      </c>
    </row>
    <row r="237">
      <c r="A237" s="24" t="inlineStr">
        <is>
          <t>U-236</t>
        </is>
      </c>
      <c r="B237" s="30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>
        <f>IF(D237="","",IF(COUNTIFS(Matches!$B$2:$B$501,A237,Matches!$L$2:$L$501,"&lt;&gt;Withdrawn")&gt;0,"Matched","Waiting"))</f>
        <v/>
      </c>
    </row>
    <row r="238">
      <c r="A238" s="24" t="inlineStr">
        <is>
          <t>U-237</t>
        </is>
      </c>
      <c r="B238" s="30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>
        <f>IF(D238="","",IF(COUNTIFS(Matches!$B$2:$B$501,A238,Matches!$L$2:$L$501,"&lt;&gt;Withdrawn")&gt;0,"Matched","Waiting"))</f>
        <v/>
      </c>
    </row>
    <row r="239">
      <c r="A239" s="24" t="inlineStr">
        <is>
          <t>U-238</t>
        </is>
      </c>
      <c r="B239" s="30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>
        <f>IF(D239="","",IF(COUNTIFS(Matches!$B$2:$B$501,A239,Matches!$L$2:$L$501,"&lt;&gt;Withdrawn")&gt;0,"Matched","Waiting"))</f>
        <v/>
      </c>
    </row>
    <row r="240">
      <c r="A240" s="24" t="inlineStr">
        <is>
          <t>U-239</t>
        </is>
      </c>
      <c r="B240" s="30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>
        <f>IF(D240="","",IF(COUNTIFS(Matches!$B$2:$B$501,A240,Matches!$L$2:$L$501,"&lt;&gt;Withdrawn")&gt;0,"Matched","Waiting"))</f>
        <v/>
      </c>
    </row>
    <row r="241">
      <c r="A241" s="24" t="inlineStr">
        <is>
          <t>U-240</t>
        </is>
      </c>
      <c r="B241" s="30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>
        <f>IF(D241="","",IF(COUNTIFS(Matches!$B$2:$B$501,A241,Matches!$L$2:$L$501,"&lt;&gt;Withdrawn")&gt;0,"Matched","Waiting"))</f>
        <v/>
      </c>
    </row>
    <row r="242">
      <c r="A242" s="24" t="inlineStr">
        <is>
          <t>U-241</t>
        </is>
      </c>
      <c r="B242" s="30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>
        <f>IF(D242="","",IF(COUNTIFS(Matches!$B$2:$B$501,A242,Matches!$L$2:$L$501,"&lt;&gt;Withdrawn")&gt;0,"Matched","Waiting"))</f>
        <v/>
      </c>
    </row>
    <row r="243">
      <c r="A243" s="24" t="inlineStr">
        <is>
          <t>U-242</t>
        </is>
      </c>
      <c r="B243" s="30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>
        <f>IF(D243="","",IF(COUNTIFS(Matches!$B$2:$B$501,A243,Matches!$L$2:$L$501,"&lt;&gt;Withdrawn")&gt;0,"Matched","Waiting"))</f>
        <v/>
      </c>
    </row>
    <row r="244">
      <c r="A244" s="24" t="inlineStr">
        <is>
          <t>U-243</t>
        </is>
      </c>
      <c r="B244" s="30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>
        <f>IF(D244="","",IF(COUNTIFS(Matches!$B$2:$B$501,A244,Matches!$L$2:$L$501,"&lt;&gt;Withdrawn")&gt;0,"Matched","Waiting"))</f>
        <v/>
      </c>
    </row>
    <row r="245">
      <c r="A245" s="24" t="inlineStr">
        <is>
          <t>U-244</t>
        </is>
      </c>
      <c r="B245" s="30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>
        <f>IF(D245="","",IF(COUNTIFS(Matches!$B$2:$B$501,A245,Matches!$L$2:$L$501,"&lt;&gt;Withdrawn")&gt;0,"Matched","Waiting"))</f>
        <v/>
      </c>
    </row>
    <row r="246">
      <c r="A246" s="24" t="inlineStr">
        <is>
          <t>U-245</t>
        </is>
      </c>
      <c r="B246" s="30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>
        <f>IF(D246="","",IF(COUNTIFS(Matches!$B$2:$B$501,A246,Matches!$L$2:$L$501,"&lt;&gt;Withdrawn")&gt;0,"Matched","Waiting"))</f>
        <v/>
      </c>
    </row>
    <row r="247">
      <c r="A247" s="24" t="inlineStr">
        <is>
          <t>U-246</t>
        </is>
      </c>
      <c r="B247" s="30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>
        <f>IF(D247="","",IF(COUNTIFS(Matches!$B$2:$B$501,A247,Matches!$L$2:$L$501,"&lt;&gt;Withdrawn")&gt;0,"Matched","Waiting"))</f>
        <v/>
      </c>
    </row>
    <row r="248">
      <c r="A248" s="24" t="inlineStr">
        <is>
          <t>U-247</t>
        </is>
      </c>
      <c r="B248" s="30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>
        <f>IF(D248="","",IF(COUNTIFS(Matches!$B$2:$B$501,A248,Matches!$L$2:$L$501,"&lt;&gt;Withdrawn")&gt;0,"Matched","Waiting"))</f>
        <v/>
      </c>
    </row>
    <row r="249">
      <c r="A249" s="24" t="inlineStr">
        <is>
          <t>U-248</t>
        </is>
      </c>
      <c r="B249" s="30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>
        <f>IF(D249="","",IF(COUNTIFS(Matches!$B$2:$B$501,A249,Matches!$L$2:$L$501,"&lt;&gt;Withdrawn")&gt;0,"Matched","Waiting"))</f>
        <v/>
      </c>
    </row>
    <row r="250">
      <c r="A250" s="24" t="inlineStr">
        <is>
          <t>U-249</t>
        </is>
      </c>
      <c r="B250" s="30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>
        <f>IF(D250="","",IF(COUNTIFS(Matches!$B$2:$B$501,A250,Matches!$L$2:$L$501,"&lt;&gt;Withdrawn")&gt;0,"Matched","Waiting"))</f>
        <v/>
      </c>
    </row>
    <row r="251">
      <c r="A251" s="24" t="inlineStr">
        <is>
          <t>U-250</t>
        </is>
      </c>
      <c r="B251" s="30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>
        <f>IF(D251="","",IF(COUNTIFS(Matches!$B$2:$B$501,A251,Matches!$L$2:$L$501,"&lt;&gt;Withdrawn")&gt;0,"Matched","Waiting"))</f>
        <v/>
      </c>
    </row>
    <row r="252">
      <c r="A252" s="24" t="inlineStr">
        <is>
          <t>U-251</t>
        </is>
      </c>
      <c r="B252" s="30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>
        <f>IF(D252="","",IF(COUNTIFS(Matches!$B$2:$B$501,A252,Matches!$L$2:$L$501,"&lt;&gt;Withdrawn")&gt;0,"Matched","Waiting"))</f>
        <v/>
      </c>
    </row>
    <row r="253">
      <c r="A253" s="24" t="inlineStr">
        <is>
          <t>U-252</t>
        </is>
      </c>
      <c r="B253" s="30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>
        <f>IF(D253="","",IF(COUNTIFS(Matches!$B$2:$B$501,A253,Matches!$L$2:$L$501,"&lt;&gt;Withdrawn")&gt;0,"Matched","Waiting"))</f>
        <v/>
      </c>
    </row>
    <row r="254">
      <c r="A254" s="24" t="inlineStr">
        <is>
          <t>U-253</t>
        </is>
      </c>
      <c r="B254" s="30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>
        <f>IF(D254="","",IF(COUNTIFS(Matches!$B$2:$B$501,A254,Matches!$L$2:$L$501,"&lt;&gt;Withdrawn")&gt;0,"Matched","Waiting"))</f>
        <v/>
      </c>
    </row>
    <row r="255">
      <c r="A255" s="24" t="inlineStr">
        <is>
          <t>U-254</t>
        </is>
      </c>
      <c r="B255" s="30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>
        <f>IF(D255="","",IF(COUNTIFS(Matches!$B$2:$B$501,A255,Matches!$L$2:$L$501,"&lt;&gt;Withdrawn")&gt;0,"Matched","Waiting"))</f>
        <v/>
      </c>
    </row>
    <row r="256">
      <c r="A256" s="24" t="inlineStr">
        <is>
          <t>U-255</t>
        </is>
      </c>
      <c r="B256" s="30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>
        <f>IF(D256="","",IF(COUNTIFS(Matches!$B$2:$B$501,A256,Matches!$L$2:$L$501,"&lt;&gt;Withdrawn")&gt;0,"Matched","Waiting"))</f>
        <v/>
      </c>
    </row>
    <row r="257">
      <c r="A257" s="24" t="inlineStr">
        <is>
          <t>U-256</t>
        </is>
      </c>
      <c r="B257" s="30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>
        <f>IF(D257="","",IF(COUNTIFS(Matches!$B$2:$B$501,A257,Matches!$L$2:$L$501,"&lt;&gt;Withdrawn")&gt;0,"Matched","Waiting"))</f>
        <v/>
      </c>
    </row>
    <row r="258">
      <c r="A258" s="24" t="inlineStr">
        <is>
          <t>U-257</t>
        </is>
      </c>
      <c r="B258" s="30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>
        <f>IF(D258="","",IF(COUNTIFS(Matches!$B$2:$B$501,A258,Matches!$L$2:$L$501,"&lt;&gt;Withdrawn")&gt;0,"Matched","Waiting"))</f>
        <v/>
      </c>
    </row>
    <row r="259">
      <c r="A259" s="24" t="inlineStr">
        <is>
          <t>U-258</t>
        </is>
      </c>
      <c r="B259" s="30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>
        <f>IF(D259="","",IF(COUNTIFS(Matches!$B$2:$B$501,A259,Matches!$L$2:$L$501,"&lt;&gt;Withdrawn")&gt;0,"Matched","Waiting"))</f>
        <v/>
      </c>
    </row>
    <row r="260">
      <c r="A260" s="24" t="inlineStr">
        <is>
          <t>U-259</t>
        </is>
      </c>
      <c r="B260" s="30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>
        <f>IF(D260="","",IF(COUNTIFS(Matches!$B$2:$B$501,A260,Matches!$L$2:$L$501,"&lt;&gt;Withdrawn")&gt;0,"Matched","Waiting"))</f>
        <v/>
      </c>
    </row>
    <row r="261">
      <c r="A261" s="24" t="inlineStr">
        <is>
          <t>U-260</t>
        </is>
      </c>
      <c r="B261" s="30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>
        <f>IF(D261="","",IF(COUNTIFS(Matches!$B$2:$B$501,A261,Matches!$L$2:$L$501,"&lt;&gt;Withdrawn")&gt;0,"Matched","Waiting"))</f>
        <v/>
      </c>
    </row>
    <row r="262">
      <c r="A262" s="24" t="inlineStr">
        <is>
          <t>U-261</t>
        </is>
      </c>
      <c r="B262" s="30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>
        <f>IF(D262="","",IF(COUNTIFS(Matches!$B$2:$B$501,A262,Matches!$L$2:$L$501,"&lt;&gt;Withdrawn")&gt;0,"Matched","Waiting"))</f>
        <v/>
      </c>
    </row>
    <row r="263">
      <c r="A263" s="24" t="inlineStr">
        <is>
          <t>U-262</t>
        </is>
      </c>
      <c r="B263" s="30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>
        <f>IF(D263="","",IF(COUNTIFS(Matches!$B$2:$B$501,A263,Matches!$L$2:$L$501,"&lt;&gt;Withdrawn")&gt;0,"Matched","Waiting"))</f>
        <v/>
      </c>
    </row>
    <row r="264">
      <c r="A264" s="24" t="inlineStr">
        <is>
          <t>U-263</t>
        </is>
      </c>
      <c r="B264" s="30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>
        <f>IF(D264="","",IF(COUNTIFS(Matches!$B$2:$B$501,A264,Matches!$L$2:$L$501,"&lt;&gt;Withdrawn")&gt;0,"Matched","Waiting"))</f>
        <v/>
      </c>
    </row>
    <row r="265">
      <c r="A265" s="24" t="inlineStr">
        <is>
          <t>U-264</t>
        </is>
      </c>
      <c r="B265" s="30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>
        <f>IF(D265="","",IF(COUNTIFS(Matches!$B$2:$B$501,A265,Matches!$L$2:$L$501,"&lt;&gt;Withdrawn")&gt;0,"Matched","Waiting"))</f>
        <v/>
      </c>
    </row>
    <row r="266">
      <c r="A266" s="24" t="inlineStr">
        <is>
          <t>U-265</t>
        </is>
      </c>
      <c r="B266" s="30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>
        <f>IF(D266="","",IF(COUNTIFS(Matches!$B$2:$B$501,A266,Matches!$L$2:$L$501,"&lt;&gt;Withdrawn")&gt;0,"Matched","Waiting"))</f>
        <v/>
      </c>
    </row>
    <row r="267">
      <c r="A267" s="24" t="inlineStr">
        <is>
          <t>U-266</t>
        </is>
      </c>
      <c r="B267" s="30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>
        <f>IF(D267="","",IF(COUNTIFS(Matches!$B$2:$B$501,A267,Matches!$L$2:$L$501,"&lt;&gt;Withdrawn")&gt;0,"Matched","Waiting"))</f>
        <v/>
      </c>
    </row>
    <row r="268">
      <c r="A268" s="24" t="inlineStr">
        <is>
          <t>U-267</t>
        </is>
      </c>
      <c r="B268" s="30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>
        <f>IF(D268="","",IF(COUNTIFS(Matches!$B$2:$B$501,A268,Matches!$L$2:$L$501,"&lt;&gt;Withdrawn")&gt;0,"Matched","Waiting"))</f>
        <v/>
      </c>
    </row>
    <row r="269">
      <c r="A269" s="24" t="inlineStr">
        <is>
          <t>U-268</t>
        </is>
      </c>
      <c r="B269" s="30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>
        <f>IF(D269="","",IF(COUNTIFS(Matches!$B$2:$B$501,A269,Matches!$L$2:$L$501,"&lt;&gt;Withdrawn")&gt;0,"Matched","Waiting"))</f>
        <v/>
      </c>
    </row>
    <row r="270">
      <c r="A270" s="24" t="inlineStr">
        <is>
          <t>U-269</t>
        </is>
      </c>
      <c r="B270" s="30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>
        <f>IF(D270="","",IF(COUNTIFS(Matches!$B$2:$B$501,A270,Matches!$L$2:$L$501,"&lt;&gt;Withdrawn")&gt;0,"Matched","Waiting"))</f>
        <v/>
      </c>
    </row>
    <row r="271">
      <c r="A271" s="24" t="inlineStr">
        <is>
          <t>U-270</t>
        </is>
      </c>
      <c r="B271" s="30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>
        <f>IF(D271="","",IF(COUNTIFS(Matches!$B$2:$B$501,A271,Matches!$L$2:$L$501,"&lt;&gt;Withdrawn")&gt;0,"Matched","Waiting"))</f>
        <v/>
      </c>
    </row>
    <row r="272">
      <c r="A272" s="24" t="inlineStr">
        <is>
          <t>U-271</t>
        </is>
      </c>
      <c r="B272" s="30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>
        <f>IF(D272="","",IF(COUNTIFS(Matches!$B$2:$B$501,A272,Matches!$L$2:$L$501,"&lt;&gt;Withdrawn")&gt;0,"Matched","Waiting"))</f>
        <v/>
      </c>
    </row>
    <row r="273">
      <c r="A273" s="24" t="inlineStr">
        <is>
          <t>U-272</t>
        </is>
      </c>
      <c r="B273" s="30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>
        <f>IF(D273="","",IF(COUNTIFS(Matches!$B$2:$B$501,A273,Matches!$L$2:$L$501,"&lt;&gt;Withdrawn")&gt;0,"Matched","Waiting"))</f>
        <v/>
      </c>
    </row>
    <row r="274">
      <c r="A274" s="24" t="inlineStr">
        <is>
          <t>U-273</t>
        </is>
      </c>
      <c r="B274" s="30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>
        <f>IF(D274="","",IF(COUNTIFS(Matches!$B$2:$B$501,A274,Matches!$L$2:$L$501,"&lt;&gt;Withdrawn")&gt;0,"Matched","Waiting"))</f>
        <v/>
      </c>
    </row>
    <row r="275">
      <c r="A275" s="24" t="inlineStr">
        <is>
          <t>U-274</t>
        </is>
      </c>
      <c r="B275" s="30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>
        <f>IF(D275="","",IF(COUNTIFS(Matches!$B$2:$B$501,A275,Matches!$L$2:$L$501,"&lt;&gt;Withdrawn")&gt;0,"Matched","Waiting"))</f>
        <v/>
      </c>
    </row>
    <row r="276">
      <c r="A276" s="24" t="inlineStr">
        <is>
          <t>U-275</t>
        </is>
      </c>
      <c r="B276" s="30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>
        <f>IF(D276="","",IF(COUNTIFS(Matches!$B$2:$B$501,A276,Matches!$L$2:$L$501,"&lt;&gt;Withdrawn")&gt;0,"Matched","Waiting"))</f>
        <v/>
      </c>
    </row>
    <row r="277">
      <c r="A277" s="24" t="inlineStr">
        <is>
          <t>U-276</t>
        </is>
      </c>
      <c r="B277" s="30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>
        <f>IF(D277="","",IF(COUNTIFS(Matches!$B$2:$B$501,A277,Matches!$L$2:$L$501,"&lt;&gt;Withdrawn")&gt;0,"Matched","Waiting"))</f>
        <v/>
      </c>
    </row>
    <row r="278">
      <c r="A278" s="24" t="inlineStr">
        <is>
          <t>U-277</t>
        </is>
      </c>
      <c r="B278" s="30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>
        <f>IF(D278="","",IF(COUNTIFS(Matches!$B$2:$B$501,A278,Matches!$L$2:$L$501,"&lt;&gt;Withdrawn")&gt;0,"Matched","Waiting"))</f>
        <v/>
      </c>
    </row>
    <row r="279">
      <c r="A279" s="24" t="inlineStr">
        <is>
          <t>U-278</t>
        </is>
      </c>
      <c r="B279" s="30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>
        <f>IF(D279="","",IF(COUNTIFS(Matches!$B$2:$B$501,A279,Matches!$L$2:$L$501,"&lt;&gt;Withdrawn")&gt;0,"Matched","Waiting"))</f>
        <v/>
      </c>
    </row>
    <row r="280">
      <c r="A280" s="24" t="inlineStr">
        <is>
          <t>U-279</t>
        </is>
      </c>
      <c r="B280" s="30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>
        <f>IF(D280="","",IF(COUNTIFS(Matches!$B$2:$B$501,A280,Matches!$L$2:$L$501,"&lt;&gt;Withdrawn")&gt;0,"Matched","Waiting"))</f>
        <v/>
      </c>
    </row>
    <row r="281">
      <c r="A281" s="24" t="inlineStr">
        <is>
          <t>U-280</t>
        </is>
      </c>
      <c r="B281" s="30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>
        <f>IF(D281="","",IF(COUNTIFS(Matches!$B$2:$B$501,A281,Matches!$L$2:$L$501,"&lt;&gt;Withdrawn")&gt;0,"Matched","Waiting"))</f>
        <v/>
      </c>
    </row>
    <row r="282">
      <c r="A282" s="24" t="inlineStr">
        <is>
          <t>U-281</t>
        </is>
      </c>
      <c r="B282" s="30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>
        <f>IF(D282="","",IF(COUNTIFS(Matches!$B$2:$B$501,A282,Matches!$L$2:$L$501,"&lt;&gt;Withdrawn")&gt;0,"Matched","Waiting"))</f>
        <v/>
      </c>
    </row>
    <row r="283">
      <c r="A283" s="24" t="inlineStr">
        <is>
          <t>U-282</t>
        </is>
      </c>
      <c r="B283" s="30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>
        <f>IF(D283="","",IF(COUNTIFS(Matches!$B$2:$B$501,A283,Matches!$L$2:$L$501,"&lt;&gt;Withdrawn")&gt;0,"Matched","Waiting"))</f>
        <v/>
      </c>
    </row>
    <row r="284">
      <c r="A284" s="24" t="inlineStr">
        <is>
          <t>U-283</t>
        </is>
      </c>
      <c r="B284" s="30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>
        <f>IF(D284="","",IF(COUNTIFS(Matches!$B$2:$B$501,A284,Matches!$L$2:$L$501,"&lt;&gt;Withdrawn")&gt;0,"Matched","Waiting"))</f>
        <v/>
      </c>
    </row>
    <row r="285">
      <c r="A285" s="24" t="inlineStr">
        <is>
          <t>U-284</t>
        </is>
      </c>
      <c r="B285" s="30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>
        <f>IF(D285="","",IF(COUNTIFS(Matches!$B$2:$B$501,A285,Matches!$L$2:$L$501,"&lt;&gt;Withdrawn")&gt;0,"Matched","Waiting"))</f>
        <v/>
      </c>
    </row>
    <row r="286">
      <c r="A286" s="24" t="inlineStr">
        <is>
          <t>U-285</t>
        </is>
      </c>
      <c r="B286" s="30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>
        <f>IF(D286="","",IF(COUNTIFS(Matches!$B$2:$B$501,A286,Matches!$L$2:$L$501,"&lt;&gt;Withdrawn")&gt;0,"Matched","Waiting"))</f>
        <v/>
      </c>
    </row>
    <row r="287">
      <c r="A287" s="24" t="inlineStr">
        <is>
          <t>U-286</t>
        </is>
      </c>
      <c r="B287" s="30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>
        <f>IF(D287="","",IF(COUNTIFS(Matches!$B$2:$B$501,A287,Matches!$L$2:$L$501,"&lt;&gt;Withdrawn")&gt;0,"Matched","Waiting"))</f>
        <v/>
      </c>
    </row>
    <row r="288">
      <c r="A288" s="24" t="inlineStr">
        <is>
          <t>U-287</t>
        </is>
      </c>
      <c r="B288" s="30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>
        <f>IF(D288="","",IF(COUNTIFS(Matches!$B$2:$B$501,A288,Matches!$L$2:$L$501,"&lt;&gt;Withdrawn")&gt;0,"Matched","Waiting"))</f>
        <v/>
      </c>
    </row>
    <row r="289">
      <c r="A289" s="24" t="inlineStr">
        <is>
          <t>U-288</t>
        </is>
      </c>
      <c r="B289" s="30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>
        <f>IF(D289="","",IF(COUNTIFS(Matches!$B$2:$B$501,A289,Matches!$L$2:$L$501,"&lt;&gt;Withdrawn")&gt;0,"Matched","Waiting"))</f>
        <v/>
      </c>
    </row>
    <row r="290">
      <c r="A290" s="24" t="inlineStr">
        <is>
          <t>U-289</t>
        </is>
      </c>
      <c r="B290" s="30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>
        <f>IF(D290="","",IF(COUNTIFS(Matches!$B$2:$B$501,A290,Matches!$L$2:$L$501,"&lt;&gt;Withdrawn")&gt;0,"Matched","Waiting"))</f>
        <v/>
      </c>
    </row>
    <row r="291">
      <c r="A291" s="24" t="inlineStr">
        <is>
          <t>U-290</t>
        </is>
      </c>
      <c r="B291" s="30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>
        <f>IF(D291="","",IF(COUNTIFS(Matches!$B$2:$B$501,A291,Matches!$L$2:$L$501,"&lt;&gt;Withdrawn")&gt;0,"Matched","Waiting"))</f>
        <v/>
      </c>
    </row>
    <row r="292">
      <c r="A292" s="24" t="inlineStr">
        <is>
          <t>U-291</t>
        </is>
      </c>
      <c r="B292" s="30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>
        <f>IF(D292="","",IF(COUNTIFS(Matches!$B$2:$B$501,A292,Matches!$L$2:$L$501,"&lt;&gt;Withdrawn")&gt;0,"Matched","Waiting"))</f>
        <v/>
      </c>
    </row>
    <row r="293">
      <c r="A293" s="24" t="inlineStr">
        <is>
          <t>U-292</t>
        </is>
      </c>
      <c r="B293" s="30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>
        <f>IF(D293="","",IF(COUNTIFS(Matches!$B$2:$B$501,A293,Matches!$L$2:$L$501,"&lt;&gt;Withdrawn")&gt;0,"Matched","Waiting"))</f>
        <v/>
      </c>
    </row>
    <row r="294">
      <c r="A294" s="24" t="inlineStr">
        <is>
          <t>U-293</t>
        </is>
      </c>
      <c r="B294" s="30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>
        <f>IF(D294="","",IF(COUNTIFS(Matches!$B$2:$B$501,A294,Matches!$L$2:$L$501,"&lt;&gt;Withdrawn")&gt;0,"Matched","Waiting"))</f>
        <v/>
      </c>
    </row>
    <row r="295">
      <c r="A295" s="24" t="inlineStr">
        <is>
          <t>U-294</t>
        </is>
      </c>
      <c r="B295" s="30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>
        <f>IF(D295="","",IF(COUNTIFS(Matches!$B$2:$B$501,A295,Matches!$L$2:$L$501,"&lt;&gt;Withdrawn")&gt;0,"Matched","Waiting"))</f>
        <v/>
      </c>
    </row>
    <row r="296">
      <c r="A296" s="24" t="inlineStr">
        <is>
          <t>U-295</t>
        </is>
      </c>
      <c r="B296" s="30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>
        <f>IF(D296="","",IF(COUNTIFS(Matches!$B$2:$B$501,A296,Matches!$L$2:$L$501,"&lt;&gt;Withdrawn")&gt;0,"Matched","Waiting"))</f>
        <v/>
      </c>
    </row>
    <row r="297">
      <c r="A297" s="24" t="inlineStr">
        <is>
          <t>U-296</t>
        </is>
      </c>
      <c r="B297" s="30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>
        <f>IF(D297="","",IF(COUNTIFS(Matches!$B$2:$B$501,A297,Matches!$L$2:$L$501,"&lt;&gt;Withdrawn")&gt;0,"Matched","Waiting"))</f>
        <v/>
      </c>
    </row>
    <row r="298">
      <c r="A298" s="24" t="inlineStr">
        <is>
          <t>U-297</t>
        </is>
      </c>
      <c r="B298" s="30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>
        <f>IF(D298="","",IF(COUNTIFS(Matches!$B$2:$B$501,A298,Matches!$L$2:$L$501,"&lt;&gt;Withdrawn")&gt;0,"Matched","Waiting"))</f>
        <v/>
      </c>
    </row>
    <row r="299">
      <c r="A299" s="24" t="inlineStr">
        <is>
          <t>U-298</t>
        </is>
      </c>
      <c r="B299" s="30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>
        <f>IF(D299="","",IF(COUNTIFS(Matches!$B$2:$B$501,A299,Matches!$L$2:$L$501,"&lt;&gt;Withdrawn")&gt;0,"Matched","Waiting"))</f>
        <v/>
      </c>
    </row>
    <row r="300">
      <c r="A300" s="24" t="inlineStr">
        <is>
          <t>U-299</t>
        </is>
      </c>
      <c r="B300" s="30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>
        <f>IF(D300="","",IF(COUNTIFS(Matches!$B$2:$B$501,A300,Matches!$L$2:$L$501,"&lt;&gt;Withdrawn")&gt;0,"Matched","Waiting"))</f>
        <v/>
      </c>
    </row>
    <row r="301">
      <c r="A301" s="24" t="inlineStr">
        <is>
          <t>U-300</t>
        </is>
      </c>
      <c r="B301" s="30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>
        <f>IF(D301="","",IF(COUNTIFS(Matches!$B$2:$B$501,A301,Matches!$L$2:$L$501,"&lt;&gt;Withdrawn")&gt;0,"Matched","Waiting"))</f>
        <v/>
      </c>
    </row>
  </sheetData>
  <conditionalFormatting sqref="P2:P301">
    <cfRule type="cellIs" priority="1" operator="equal" dxfId="1">
      <formula>"Waiting"</formula>
    </cfRule>
    <cfRule type="cellIs" priority="2" operator="equal" dxfId="0">
      <formula>"Matched"</formula>
    </cfRule>
  </conditionalFormatting>
  <dataValidations count="3">
    <dataValidation sqref="E2:E301" showDropDown="0" showInputMessage="0" showErrorMessage="1" allowBlank="1" errorTitle="Invalid entry" error="Pick a value from the list." type="list">
      <formula1>Settings!$E$4:$E$7</formula1>
    </dataValidation>
    <dataValidation sqref="G2:G301" showDropDown="0" showInputMessage="0" showErrorMessage="1" allowBlank="1" errorTitle="Invalid entry" error="Pick a value from the list." type="list">
      <formula1>Settings!$A$16:$A$23</formula1>
    </dataValidation>
    <dataValidation sqref="M2:M301" showDropDown="0" showInputMessage="0" showErrorMessage="1" allowBlank="1" errorTitle="Invalid entry" error="Pick a value from the list." type="list">
      <formula1>Settings!$I$4:$I$6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24" customWidth="1" min="3" max="3"/>
    <col width="22" customWidth="1" min="4" max="4"/>
    <col width="12" customWidth="1" min="5" max="5"/>
    <col width="20" customWidth="1" min="6" max="6"/>
    <col width="40" customWidth="1" min="7" max="7"/>
    <col width="34" customWidth="1" min="8" max="8"/>
    <col width="30" customWidth="1" min="9" max="9"/>
    <col width="13" customWidth="1" min="10" max="10"/>
    <col width="10" customWidth="1" min="11" max="11"/>
    <col width="30" customWidth="1" min="12" max="12"/>
    <col width="14" customWidth="1" min="13" max="13"/>
    <col width="10" customWidth="1" min="14" max="14"/>
    <col width="10" customWidth="1" min="15" max="15"/>
    <col width="20" customWidth="1" min="16" max="16"/>
  </cols>
  <sheetData>
    <row r="1" ht="32" customHeight="1">
      <c r="A1" s="13" t="inlineStr">
        <is>
          <t>Mentor ID</t>
        </is>
      </c>
      <c r="B1" s="27" t="inlineStr">
        <is>
          <t>Timestamp</t>
        </is>
      </c>
      <c r="C1" s="27" t="inlineStr">
        <is>
          <t>Email</t>
        </is>
      </c>
      <c r="D1" s="27" t="inlineStr">
        <is>
          <t>Full name</t>
        </is>
      </c>
      <c r="E1" s="27" t="inlineStr">
        <is>
          <t>Program</t>
        </is>
      </c>
      <c r="F1" s="27" t="inlineStr">
        <is>
          <t>Department</t>
        </is>
      </c>
      <c r="G1" s="27" t="inlineStr">
        <is>
          <t>Research areas &amp; expertise</t>
        </is>
      </c>
      <c r="H1" s="27" t="inlineStr">
        <is>
          <t>Career paths you can speak to</t>
        </is>
      </c>
      <c r="I1" s="27" t="inlineStr">
        <is>
          <t>Availability</t>
        </is>
      </c>
      <c r="J1" s="27" t="inlineStr">
        <is>
          <t>Meeting format</t>
        </is>
      </c>
      <c r="K1" s="27" t="inlineStr">
        <is>
          <t>Max mentees</t>
        </is>
      </c>
      <c r="L1" s="27" t="inlineStr">
        <is>
          <t>Anything else?</t>
        </is>
      </c>
      <c r="M1" s="27" t="inlineStr">
        <is>
          <t>Commits to 2 meetings / 8 weeks</t>
        </is>
      </c>
      <c r="N1" s="13" t="inlineStr">
        <is>
          <t>Assigned</t>
        </is>
      </c>
      <c r="O1" s="13" t="inlineStr">
        <is>
          <t>Open slots</t>
        </is>
      </c>
      <c r="P1" s="13" t="inlineStr">
        <is>
          <t>Mentor Lead</t>
        </is>
      </c>
    </row>
    <row r="2">
      <c r="A2" s="24" t="inlineStr">
        <is>
          <t>G-001</t>
        </is>
      </c>
      <c r="B2" s="28" t="n">
        <v>46313.375</v>
      </c>
      <c r="C2" s="29" t="inlineStr">
        <is>
          <t>praman@uga.edu</t>
        </is>
      </c>
      <c r="D2" s="29" t="inlineStr">
        <is>
          <t>Priya Raman (SAMPLE)</t>
        </is>
      </c>
      <c r="E2" s="29" t="inlineStr">
        <is>
          <t>PhD</t>
        </is>
      </c>
      <c r="F2" s="29" t="inlineStr">
        <is>
          <t>Computer Science</t>
        </is>
      </c>
      <c r="G2" s="29" t="inlineStr">
        <is>
          <t>Machine learning for medical imaging; healthcare AI; Python</t>
        </is>
      </c>
      <c r="H2" s="29" t="inlineStr">
        <is>
          <t>Graduate school (PhD), Industry R&amp;D</t>
        </is>
      </c>
      <c r="I2" s="29" t="inlineStr">
        <is>
          <t>Weekday afternoons</t>
        </is>
      </c>
      <c r="J2" s="29" t="inlineStr">
        <is>
          <t>Virtual</t>
        </is>
      </c>
      <c r="K2" s="29" t="n">
        <v>2</v>
      </c>
      <c r="L2" s="29" t="inlineStr"/>
      <c r="M2" s="29" t="inlineStr">
        <is>
          <t>Yes</t>
        </is>
      </c>
      <c r="N2" s="24">
        <f>IF(D2="","",COUNTIFS(Matches!$D$2:$D$501,A2,Matches!$L$2:$L$501,"&lt;&gt;Withdrawn"))</f>
        <v/>
      </c>
      <c r="O2" s="24">
        <f>IF(D2="","",MAX(0,IFERROR(--K2,1)-N2))</f>
        <v/>
      </c>
      <c r="P2" s="24">
        <f>IF(D2="","",IFERROR(INDEX(Settings!$B$16:$B$23,MATCH(F2,Settings!$A$16:$A$23,0))&amp;"",""))</f>
        <v/>
      </c>
    </row>
    <row r="3">
      <c r="A3" s="24" t="inlineStr">
        <is>
          <t>G-002</t>
        </is>
      </c>
      <c r="B3" s="28" t="n">
        <v>46313.60416666666</v>
      </c>
      <c r="C3" s="29" t="inlineStr">
        <is>
          <t>mbell@uga.edu</t>
        </is>
      </c>
      <c r="D3" s="29" t="inlineStr">
        <is>
          <t>Marcus Bell (SAMPLE)</t>
        </is>
      </c>
      <c r="E3" s="29" t="inlineStr">
        <is>
          <t>Master's</t>
        </is>
      </c>
      <c r="F3" s="29" t="inlineStr">
        <is>
          <t>Computer Science</t>
        </is>
      </c>
      <c r="G3" s="29" t="inlineStr">
        <is>
          <t>Cybersecurity, computer networks</t>
        </is>
      </c>
      <c r="H3" s="29" t="inlineStr">
        <is>
          <t>Industry (non-research), Government / Public sector</t>
        </is>
      </c>
      <c r="I3" s="29" t="inlineStr">
        <is>
          <t>Weekday evenings</t>
        </is>
      </c>
      <c r="J3" s="29" t="inlineStr">
        <is>
          <t>In person</t>
        </is>
      </c>
      <c r="K3" s="29" t="n">
        <v>1</v>
      </c>
      <c r="L3" s="29" t="inlineStr"/>
      <c r="M3" s="29" t="inlineStr">
        <is>
          <t>Yes</t>
        </is>
      </c>
      <c r="N3" s="24">
        <f>IF(D3="","",COUNTIFS(Matches!$D$2:$D$501,A3,Matches!$L$2:$L$501,"&lt;&gt;Withdrawn"))</f>
        <v/>
      </c>
      <c r="O3" s="24">
        <f>IF(D3="","",MAX(0,IFERROR(--K3,1)-N3))</f>
        <v/>
      </c>
      <c r="P3" s="24">
        <f>IF(D3="","",IFERROR(INDEX(Settings!$B$16:$B$23,MATCH(F3,Settings!$A$16:$A$23,0))&amp;"",""))</f>
        <v/>
      </c>
    </row>
    <row r="4">
      <c r="A4" s="24" t="inlineStr">
        <is>
          <t>G-003</t>
        </is>
      </c>
      <c r="B4" s="28" t="n">
        <v>46314.46180555555</v>
      </c>
      <c r="C4" s="29" t="inlineStr">
        <is>
          <t>atorres@uga.edu</t>
        </is>
      </c>
      <c r="D4" s="29" t="inlineStr">
        <is>
          <t>Ana Torres (SAMPLE)</t>
        </is>
      </c>
      <c r="E4" s="29" t="inlineStr">
        <is>
          <t>PhD</t>
        </is>
      </c>
      <c r="F4" s="29" t="inlineStr">
        <is>
          <t>Psychology</t>
        </is>
      </c>
      <c r="G4" s="29" t="inlineStr">
        <is>
          <t>Cognitive neuroscience; machine learning for EEG data</t>
        </is>
      </c>
      <c r="H4" s="29" t="inlineStr">
        <is>
          <t>Graduate school (PhD)</t>
        </is>
      </c>
      <c r="I4" s="29" t="inlineStr">
        <is>
          <t>Weekends</t>
        </is>
      </c>
      <c r="J4" s="29" t="inlineStr">
        <is>
          <t>Either</t>
        </is>
      </c>
      <c r="K4" s="29" t="n">
        <v>1</v>
      </c>
      <c r="L4" s="29" t="inlineStr"/>
      <c r="M4" s="29" t="inlineStr">
        <is>
          <t>Yes</t>
        </is>
      </c>
      <c r="N4" s="24">
        <f>IF(D4="","",COUNTIFS(Matches!$D$2:$D$501,A4,Matches!$L$2:$L$501,"&lt;&gt;Withdrawn"))</f>
        <v/>
      </c>
      <c r="O4" s="24">
        <f>IF(D4="","",MAX(0,IFERROR(--K4,1)-N4))</f>
        <v/>
      </c>
      <c r="P4" s="24">
        <f>IF(D4="","",IFERROR(INDEX(Settings!$B$16:$B$23,MATCH(F4,Settings!$A$16:$A$23,0))&amp;"",""))</f>
        <v/>
      </c>
    </row>
    <row r="5">
      <c r="A5" s="24" t="inlineStr">
        <is>
          <t>G-004</t>
        </is>
      </c>
      <c r="B5" s="30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>
        <f>IF(D5="","",COUNTIFS(Matches!$D$2:$D$501,A5,Matches!$L$2:$L$501,"&lt;&gt;Withdrawn"))</f>
        <v/>
      </c>
      <c r="O5" s="24">
        <f>IF(D5="","",MAX(0,IFERROR(--K5,1)-N5))</f>
        <v/>
      </c>
      <c r="P5" s="24">
        <f>IF(D5="","",IFERROR(INDEX(Settings!$B$16:$B$23,MATCH(F5,Settings!$A$16:$A$23,0))&amp;"",""))</f>
        <v/>
      </c>
    </row>
    <row r="6">
      <c r="A6" s="24" t="inlineStr">
        <is>
          <t>G-005</t>
        </is>
      </c>
      <c r="B6" s="30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>
        <f>IF(D6="","",COUNTIFS(Matches!$D$2:$D$501,A6,Matches!$L$2:$L$501,"&lt;&gt;Withdrawn"))</f>
        <v/>
      </c>
      <c r="O6" s="24">
        <f>IF(D6="","",MAX(0,IFERROR(--K6,1)-N6))</f>
        <v/>
      </c>
      <c r="P6" s="24">
        <f>IF(D6="","",IFERROR(INDEX(Settings!$B$16:$B$23,MATCH(F6,Settings!$A$16:$A$23,0))&amp;"",""))</f>
        <v/>
      </c>
    </row>
    <row r="7">
      <c r="A7" s="24" t="inlineStr">
        <is>
          <t>G-006</t>
        </is>
      </c>
      <c r="B7" s="30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>
        <f>IF(D7="","",COUNTIFS(Matches!$D$2:$D$501,A7,Matches!$L$2:$L$501,"&lt;&gt;Withdrawn"))</f>
        <v/>
      </c>
      <c r="O7" s="24">
        <f>IF(D7="","",MAX(0,IFERROR(--K7,1)-N7))</f>
        <v/>
      </c>
      <c r="P7" s="24">
        <f>IF(D7="","",IFERROR(INDEX(Settings!$B$16:$B$23,MATCH(F7,Settings!$A$16:$A$23,0))&amp;"",""))</f>
        <v/>
      </c>
    </row>
    <row r="8">
      <c r="A8" s="24" t="inlineStr">
        <is>
          <t>G-007</t>
        </is>
      </c>
      <c r="B8" s="30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>
        <f>IF(D8="","",COUNTIFS(Matches!$D$2:$D$501,A8,Matches!$L$2:$L$501,"&lt;&gt;Withdrawn"))</f>
        <v/>
      </c>
      <c r="O8" s="24">
        <f>IF(D8="","",MAX(0,IFERROR(--K8,1)-N8))</f>
        <v/>
      </c>
      <c r="P8" s="24">
        <f>IF(D8="","",IFERROR(INDEX(Settings!$B$16:$B$23,MATCH(F8,Settings!$A$16:$A$23,0))&amp;"",""))</f>
        <v/>
      </c>
    </row>
    <row r="9">
      <c r="A9" s="24" t="inlineStr">
        <is>
          <t>G-008</t>
        </is>
      </c>
      <c r="B9" s="30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>
        <f>IF(D9="","",COUNTIFS(Matches!$D$2:$D$501,A9,Matches!$L$2:$L$501,"&lt;&gt;Withdrawn"))</f>
        <v/>
      </c>
      <c r="O9" s="24">
        <f>IF(D9="","",MAX(0,IFERROR(--K9,1)-N9))</f>
        <v/>
      </c>
      <c r="P9" s="24">
        <f>IF(D9="","",IFERROR(INDEX(Settings!$B$16:$B$23,MATCH(F9,Settings!$A$16:$A$23,0))&amp;"",""))</f>
        <v/>
      </c>
    </row>
    <row r="10">
      <c r="A10" s="24" t="inlineStr">
        <is>
          <t>G-009</t>
        </is>
      </c>
      <c r="B10" s="30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>
        <f>IF(D10="","",COUNTIFS(Matches!$D$2:$D$501,A10,Matches!$L$2:$L$501,"&lt;&gt;Withdrawn"))</f>
        <v/>
      </c>
      <c r="O10" s="24">
        <f>IF(D10="","",MAX(0,IFERROR(--K10,1)-N10))</f>
        <v/>
      </c>
      <c r="P10" s="24">
        <f>IF(D10="","",IFERROR(INDEX(Settings!$B$16:$B$23,MATCH(F10,Settings!$A$16:$A$23,0))&amp;"",""))</f>
        <v/>
      </c>
    </row>
    <row r="11">
      <c r="A11" s="24" t="inlineStr">
        <is>
          <t>G-010</t>
        </is>
      </c>
      <c r="B11" s="30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>
        <f>IF(D11="","",COUNTIFS(Matches!$D$2:$D$501,A11,Matches!$L$2:$L$501,"&lt;&gt;Withdrawn"))</f>
        <v/>
      </c>
      <c r="O11" s="24">
        <f>IF(D11="","",MAX(0,IFERROR(--K11,1)-N11))</f>
        <v/>
      </c>
      <c r="P11" s="24">
        <f>IF(D11="","",IFERROR(INDEX(Settings!$B$16:$B$23,MATCH(F11,Settings!$A$16:$A$23,0))&amp;"",""))</f>
        <v/>
      </c>
    </row>
    <row r="12">
      <c r="A12" s="24" t="inlineStr">
        <is>
          <t>G-011</t>
        </is>
      </c>
      <c r="B12" s="30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>
        <f>IF(D12="","",COUNTIFS(Matches!$D$2:$D$501,A12,Matches!$L$2:$L$501,"&lt;&gt;Withdrawn"))</f>
        <v/>
      </c>
      <c r="O12" s="24">
        <f>IF(D12="","",MAX(0,IFERROR(--K12,1)-N12))</f>
        <v/>
      </c>
      <c r="P12" s="24">
        <f>IF(D12="","",IFERROR(INDEX(Settings!$B$16:$B$23,MATCH(F12,Settings!$A$16:$A$23,0))&amp;"",""))</f>
        <v/>
      </c>
    </row>
    <row r="13">
      <c r="A13" s="24" t="inlineStr">
        <is>
          <t>G-012</t>
        </is>
      </c>
      <c r="B13" s="30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>
        <f>IF(D13="","",COUNTIFS(Matches!$D$2:$D$501,A13,Matches!$L$2:$L$501,"&lt;&gt;Withdrawn"))</f>
        <v/>
      </c>
      <c r="O13" s="24">
        <f>IF(D13="","",MAX(0,IFERROR(--K13,1)-N13))</f>
        <v/>
      </c>
      <c r="P13" s="24">
        <f>IF(D13="","",IFERROR(INDEX(Settings!$B$16:$B$23,MATCH(F13,Settings!$A$16:$A$23,0))&amp;"",""))</f>
        <v/>
      </c>
    </row>
    <row r="14">
      <c r="A14" s="24" t="inlineStr">
        <is>
          <t>G-013</t>
        </is>
      </c>
      <c r="B14" s="30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>
        <f>IF(D14="","",COUNTIFS(Matches!$D$2:$D$501,A14,Matches!$L$2:$L$501,"&lt;&gt;Withdrawn"))</f>
        <v/>
      </c>
      <c r="O14" s="24">
        <f>IF(D14="","",MAX(0,IFERROR(--K14,1)-N14))</f>
        <v/>
      </c>
      <c r="P14" s="24">
        <f>IF(D14="","",IFERROR(INDEX(Settings!$B$16:$B$23,MATCH(F14,Settings!$A$16:$A$23,0))&amp;"",""))</f>
        <v/>
      </c>
    </row>
    <row r="15">
      <c r="A15" s="24" t="inlineStr">
        <is>
          <t>G-014</t>
        </is>
      </c>
      <c r="B15" s="30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>
        <f>IF(D15="","",COUNTIFS(Matches!$D$2:$D$501,A15,Matches!$L$2:$L$501,"&lt;&gt;Withdrawn"))</f>
        <v/>
      </c>
      <c r="O15" s="24">
        <f>IF(D15="","",MAX(0,IFERROR(--K15,1)-N15))</f>
        <v/>
      </c>
      <c r="P15" s="24">
        <f>IF(D15="","",IFERROR(INDEX(Settings!$B$16:$B$23,MATCH(F15,Settings!$A$16:$A$23,0))&amp;"",""))</f>
        <v/>
      </c>
    </row>
    <row r="16">
      <c r="A16" s="24" t="inlineStr">
        <is>
          <t>G-015</t>
        </is>
      </c>
      <c r="B16" s="30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>
        <f>IF(D16="","",COUNTIFS(Matches!$D$2:$D$501,A16,Matches!$L$2:$L$501,"&lt;&gt;Withdrawn"))</f>
        <v/>
      </c>
      <c r="O16" s="24">
        <f>IF(D16="","",MAX(0,IFERROR(--K16,1)-N16))</f>
        <v/>
      </c>
      <c r="P16" s="24">
        <f>IF(D16="","",IFERROR(INDEX(Settings!$B$16:$B$23,MATCH(F16,Settings!$A$16:$A$23,0))&amp;"",""))</f>
        <v/>
      </c>
    </row>
    <row r="17">
      <c r="A17" s="24" t="inlineStr">
        <is>
          <t>G-016</t>
        </is>
      </c>
      <c r="B17" s="30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>
        <f>IF(D17="","",COUNTIFS(Matches!$D$2:$D$501,A17,Matches!$L$2:$L$501,"&lt;&gt;Withdrawn"))</f>
        <v/>
      </c>
      <c r="O17" s="24">
        <f>IF(D17="","",MAX(0,IFERROR(--K17,1)-N17))</f>
        <v/>
      </c>
      <c r="P17" s="24">
        <f>IF(D17="","",IFERROR(INDEX(Settings!$B$16:$B$23,MATCH(F17,Settings!$A$16:$A$23,0))&amp;"",""))</f>
        <v/>
      </c>
    </row>
    <row r="18">
      <c r="A18" s="24" t="inlineStr">
        <is>
          <t>G-017</t>
        </is>
      </c>
      <c r="B18" s="30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>
        <f>IF(D18="","",COUNTIFS(Matches!$D$2:$D$501,A18,Matches!$L$2:$L$501,"&lt;&gt;Withdrawn"))</f>
        <v/>
      </c>
      <c r="O18" s="24">
        <f>IF(D18="","",MAX(0,IFERROR(--K18,1)-N18))</f>
        <v/>
      </c>
      <c r="P18" s="24">
        <f>IF(D18="","",IFERROR(INDEX(Settings!$B$16:$B$23,MATCH(F18,Settings!$A$16:$A$23,0))&amp;"",""))</f>
        <v/>
      </c>
    </row>
    <row r="19">
      <c r="A19" s="24" t="inlineStr">
        <is>
          <t>G-018</t>
        </is>
      </c>
      <c r="B19" s="30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>
        <f>IF(D19="","",COUNTIFS(Matches!$D$2:$D$501,A19,Matches!$L$2:$L$501,"&lt;&gt;Withdrawn"))</f>
        <v/>
      </c>
      <c r="O19" s="24">
        <f>IF(D19="","",MAX(0,IFERROR(--K19,1)-N19))</f>
        <v/>
      </c>
      <c r="P19" s="24">
        <f>IF(D19="","",IFERROR(INDEX(Settings!$B$16:$B$23,MATCH(F19,Settings!$A$16:$A$23,0))&amp;"",""))</f>
        <v/>
      </c>
    </row>
    <row r="20">
      <c r="A20" s="24" t="inlineStr">
        <is>
          <t>G-019</t>
        </is>
      </c>
      <c r="B20" s="30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>
        <f>IF(D20="","",COUNTIFS(Matches!$D$2:$D$501,A20,Matches!$L$2:$L$501,"&lt;&gt;Withdrawn"))</f>
        <v/>
      </c>
      <c r="O20" s="24">
        <f>IF(D20="","",MAX(0,IFERROR(--K20,1)-N20))</f>
        <v/>
      </c>
      <c r="P20" s="24">
        <f>IF(D20="","",IFERROR(INDEX(Settings!$B$16:$B$23,MATCH(F20,Settings!$A$16:$A$23,0))&amp;"",""))</f>
        <v/>
      </c>
    </row>
    <row r="21">
      <c r="A21" s="24" t="inlineStr">
        <is>
          <t>G-020</t>
        </is>
      </c>
      <c r="B21" s="30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>
        <f>IF(D21="","",COUNTIFS(Matches!$D$2:$D$501,A21,Matches!$L$2:$L$501,"&lt;&gt;Withdrawn"))</f>
        <v/>
      </c>
      <c r="O21" s="24">
        <f>IF(D21="","",MAX(0,IFERROR(--K21,1)-N21))</f>
        <v/>
      </c>
      <c r="P21" s="24">
        <f>IF(D21="","",IFERROR(INDEX(Settings!$B$16:$B$23,MATCH(F21,Settings!$A$16:$A$23,0))&amp;"",""))</f>
        <v/>
      </c>
    </row>
    <row r="22">
      <c r="A22" s="24" t="inlineStr">
        <is>
          <t>G-021</t>
        </is>
      </c>
      <c r="B22" s="30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>
        <f>IF(D22="","",COUNTIFS(Matches!$D$2:$D$501,A22,Matches!$L$2:$L$501,"&lt;&gt;Withdrawn"))</f>
        <v/>
      </c>
      <c r="O22" s="24">
        <f>IF(D22="","",MAX(0,IFERROR(--K22,1)-N22))</f>
        <v/>
      </c>
      <c r="P22" s="24">
        <f>IF(D22="","",IFERROR(INDEX(Settings!$B$16:$B$23,MATCH(F22,Settings!$A$16:$A$23,0))&amp;"",""))</f>
        <v/>
      </c>
    </row>
    <row r="23">
      <c r="A23" s="24" t="inlineStr">
        <is>
          <t>G-022</t>
        </is>
      </c>
      <c r="B23" s="30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>
        <f>IF(D23="","",COUNTIFS(Matches!$D$2:$D$501,A23,Matches!$L$2:$L$501,"&lt;&gt;Withdrawn"))</f>
        <v/>
      </c>
      <c r="O23" s="24">
        <f>IF(D23="","",MAX(0,IFERROR(--K23,1)-N23))</f>
        <v/>
      </c>
      <c r="P23" s="24">
        <f>IF(D23="","",IFERROR(INDEX(Settings!$B$16:$B$23,MATCH(F23,Settings!$A$16:$A$23,0))&amp;"",""))</f>
        <v/>
      </c>
    </row>
    <row r="24">
      <c r="A24" s="24" t="inlineStr">
        <is>
          <t>G-023</t>
        </is>
      </c>
      <c r="B24" s="30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>
        <f>IF(D24="","",COUNTIFS(Matches!$D$2:$D$501,A24,Matches!$L$2:$L$501,"&lt;&gt;Withdrawn"))</f>
        <v/>
      </c>
      <c r="O24" s="24">
        <f>IF(D24="","",MAX(0,IFERROR(--K24,1)-N24))</f>
        <v/>
      </c>
      <c r="P24" s="24">
        <f>IF(D24="","",IFERROR(INDEX(Settings!$B$16:$B$23,MATCH(F24,Settings!$A$16:$A$23,0))&amp;"",""))</f>
        <v/>
      </c>
    </row>
    <row r="25">
      <c r="A25" s="24" t="inlineStr">
        <is>
          <t>G-024</t>
        </is>
      </c>
      <c r="B25" s="30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>
        <f>IF(D25="","",COUNTIFS(Matches!$D$2:$D$501,A25,Matches!$L$2:$L$501,"&lt;&gt;Withdrawn"))</f>
        <v/>
      </c>
      <c r="O25" s="24">
        <f>IF(D25="","",MAX(0,IFERROR(--K25,1)-N25))</f>
        <v/>
      </c>
      <c r="P25" s="24">
        <f>IF(D25="","",IFERROR(INDEX(Settings!$B$16:$B$23,MATCH(F25,Settings!$A$16:$A$23,0))&amp;"",""))</f>
        <v/>
      </c>
    </row>
    <row r="26">
      <c r="A26" s="24" t="inlineStr">
        <is>
          <t>G-025</t>
        </is>
      </c>
      <c r="B26" s="30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>
        <f>IF(D26="","",COUNTIFS(Matches!$D$2:$D$501,A26,Matches!$L$2:$L$501,"&lt;&gt;Withdrawn"))</f>
        <v/>
      </c>
      <c r="O26" s="24">
        <f>IF(D26="","",MAX(0,IFERROR(--K26,1)-N26))</f>
        <v/>
      </c>
      <c r="P26" s="24">
        <f>IF(D26="","",IFERROR(INDEX(Settings!$B$16:$B$23,MATCH(F26,Settings!$A$16:$A$23,0))&amp;"",""))</f>
        <v/>
      </c>
    </row>
    <row r="27">
      <c r="A27" s="24" t="inlineStr">
        <is>
          <t>G-026</t>
        </is>
      </c>
      <c r="B27" s="30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>
        <f>IF(D27="","",COUNTIFS(Matches!$D$2:$D$501,A27,Matches!$L$2:$L$501,"&lt;&gt;Withdrawn"))</f>
        <v/>
      </c>
      <c r="O27" s="24">
        <f>IF(D27="","",MAX(0,IFERROR(--K27,1)-N27))</f>
        <v/>
      </c>
      <c r="P27" s="24">
        <f>IF(D27="","",IFERROR(INDEX(Settings!$B$16:$B$23,MATCH(F27,Settings!$A$16:$A$23,0))&amp;"",""))</f>
        <v/>
      </c>
    </row>
    <row r="28">
      <c r="A28" s="24" t="inlineStr">
        <is>
          <t>G-027</t>
        </is>
      </c>
      <c r="B28" s="30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>
        <f>IF(D28="","",COUNTIFS(Matches!$D$2:$D$501,A28,Matches!$L$2:$L$501,"&lt;&gt;Withdrawn"))</f>
        <v/>
      </c>
      <c r="O28" s="24">
        <f>IF(D28="","",MAX(0,IFERROR(--K28,1)-N28))</f>
        <v/>
      </c>
      <c r="P28" s="24">
        <f>IF(D28="","",IFERROR(INDEX(Settings!$B$16:$B$23,MATCH(F28,Settings!$A$16:$A$23,0))&amp;"",""))</f>
        <v/>
      </c>
    </row>
    <row r="29">
      <c r="A29" s="24" t="inlineStr">
        <is>
          <t>G-028</t>
        </is>
      </c>
      <c r="B29" s="30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>
        <f>IF(D29="","",COUNTIFS(Matches!$D$2:$D$501,A29,Matches!$L$2:$L$501,"&lt;&gt;Withdrawn"))</f>
        <v/>
      </c>
      <c r="O29" s="24">
        <f>IF(D29="","",MAX(0,IFERROR(--K29,1)-N29))</f>
        <v/>
      </c>
      <c r="P29" s="24">
        <f>IF(D29="","",IFERROR(INDEX(Settings!$B$16:$B$23,MATCH(F29,Settings!$A$16:$A$23,0))&amp;"",""))</f>
        <v/>
      </c>
    </row>
    <row r="30">
      <c r="A30" s="24" t="inlineStr">
        <is>
          <t>G-029</t>
        </is>
      </c>
      <c r="B30" s="30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>
        <f>IF(D30="","",COUNTIFS(Matches!$D$2:$D$501,A30,Matches!$L$2:$L$501,"&lt;&gt;Withdrawn"))</f>
        <v/>
      </c>
      <c r="O30" s="24">
        <f>IF(D30="","",MAX(0,IFERROR(--K30,1)-N30))</f>
        <v/>
      </c>
      <c r="P30" s="24">
        <f>IF(D30="","",IFERROR(INDEX(Settings!$B$16:$B$23,MATCH(F30,Settings!$A$16:$A$23,0))&amp;"",""))</f>
        <v/>
      </c>
    </row>
    <row r="31">
      <c r="A31" s="24" t="inlineStr">
        <is>
          <t>G-030</t>
        </is>
      </c>
      <c r="B31" s="30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>
        <f>IF(D31="","",COUNTIFS(Matches!$D$2:$D$501,A31,Matches!$L$2:$L$501,"&lt;&gt;Withdrawn"))</f>
        <v/>
      </c>
      <c r="O31" s="24">
        <f>IF(D31="","",MAX(0,IFERROR(--K31,1)-N31))</f>
        <v/>
      </c>
      <c r="P31" s="24">
        <f>IF(D31="","",IFERROR(INDEX(Settings!$B$16:$B$23,MATCH(F31,Settings!$A$16:$A$23,0))&amp;"",""))</f>
        <v/>
      </c>
    </row>
    <row r="32">
      <c r="A32" s="24" t="inlineStr">
        <is>
          <t>G-031</t>
        </is>
      </c>
      <c r="B32" s="30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>
        <f>IF(D32="","",COUNTIFS(Matches!$D$2:$D$501,A32,Matches!$L$2:$L$501,"&lt;&gt;Withdrawn"))</f>
        <v/>
      </c>
      <c r="O32" s="24">
        <f>IF(D32="","",MAX(0,IFERROR(--K32,1)-N32))</f>
        <v/>
      </c>
      <c r="P32" s="24">
        <f>IF(D32="","",IFERROR(INDEX(Settings!$B$16:$B$23,MATCH(F32,Settings!$A$16:$A$23,0))&amp;"",""))</f>
        <v/>
      </c>
    </row>
    <row r="33">
      <c r="A33" s="24" t="inlineStr">
        <is>
          <t>G-032</t>
        </is>
      </c>
      <c r="B33" s="30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>
        <f>IF(D33="","",COUNTIFS(Matches!$D$2:$D$501,A33,Matches!$L$2:$L$501,"&lt;&gt;Withdrawn"))</f>
        <v/>
      </c>
      <c r="O33" s="24">
        <f>IF(D33="","",MAX(0,IFERROR(--K33,1)-N33))</f>
        <v/>
      </c>
      <c r="P33" s="24">
        <f>IF(D33="","",IFERROR(INDEX(Settings!$B$16:$B$23,MATCH(F33,Settings!$A$16:$A$23,0))&amp;"",""))</f>
        <v/>
      </c>
    </row>
    <row r="34">
      <c r="A34" s="24" t="inlineStr">
        <is>
          <t>G-033</t>
        </is>
      </c>
      <c r="B34" s="30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>
        <f>IF(D34="","",COUNTIFS(Matches!$D$2:$D$501,A34,Matches!$L$2:$L$501,"&lt;&gt;Withdrawn"))</f>
        <v/>
      </c>
      <c r="O34" s="24">
        <f>IF(D34="","",MAX(0,IFERROR(--K34,1)-N34))</f>
        <v/>
      </c>
      <c r="P34" s="24">
        <f>IF(D34="","",IFERROR(INDEX(Settings!$B$16:$B$23,MATCH(F34,Settings!$A$16:$A$23,0))&amp;"",""))</f>
        <v/>
      </c>
    </row>
    <row r="35">
      <c r="A35" s="24" t="inlineStr">
        <is>
          <t>G-034</t>
        </is>
      </c>
      <c r="B35" s="30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>
        <f>IF(D35="","",COUNTIFS(Matches!$D$2:$D$501,A35,Matches!$L$2:$L$501,"&lt;&gt;Withdrawn"))</f>
        <v/>
      </c>
      <c r="O35" s="24">
        <f>IF(D35="","",MAX(0,IFERROR(--K35,1)-N35))</f>
        <v/>
      </c>
      <c r="P35" s="24">
        <f>IF(D35="","",IFERROR(INDEX(Settings!$B$16:$B$23,MATCH(F35,Settings!$A$16:$A$23,0))&amp;"",""))</f>
        <v/>
      </c>
    </row>
    <row r="36">
      <c r="A36" s="24" t="inlineStr">
        <is>
          <t>G-035</t>
        </is>
      </c>
      <c r="B36" s="30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>
        <f>IF(D36="","",COUNTIFS(Matches!$D$2:$D$501,A36,Matches!$L$2:$L$501,"&lt;&gt;Withdrawn"))</f>
        <v/>
      </c>
      <c r="O36" s="24">
        <f>IF(D36="","",MAX(0,IFERROR(--K36,1)-N36))</f>
        <v/>
      </c>
      <c r="P36" s="24">
        <f>IF(D36="","",IFERROR(INDEX(Settings!$B$16:$B$23,MATCH(F36,Settings!$A$16:$A$23,0))&amp;"",""))</f>
        <v/>
      </c>
    </row>
    <row r="37">
      <c r="A37" s="24" t="inlineStr">
        <is>
          <t>G-036</t>
        </is>
      </c>
      <c r="B37" s="30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>
        <f>IF(D37="","",COUNTIFS(Matches!$D$2:$D$501,A37,Matches!$L$2:$L$501,"&lt;&gt;Withdrawn"))</f>
        <v/>
      </c>
      <c r="O37" s="24">
        <f>IF(D37="","",MAX(0,IFERROR(--K37,1)-N37))</f>
        <v/>
      </c>
      <c r="P37" s="24">
        <f>IF(D37="","",IFERROR(INDEX(Settings!$B$16:$B$23,MATCH(F37,Settings!$A$16:$A$23,0))&amp;"",""))</f>
        <v/>
      </c>
    </row>
    <row r="38">
      <c r="A38" s="24" t="inlineStr">
        <is>
          <t>G-037</t>
        </is>
      </c>
      <c r="B38" s="30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>
        <f>IF(D38="","",COUNTIFS(Matches!$D$2:$D$501,A38,Matches!$L$2:$L$501,"&lt;&gt;Withdrawn"))</f>
        <v/>
      </c>
      <c r="O38" s="24">
        <f>IF(D38="","",MAX(0,IFERROR(--K38,1)-N38))</f>
        <v/>
      </c>
      <c r="P38" s="24">
        <f>IF(D38="","",IFERROR(INDEX(Settings!$B$16:$B$23,MATCH(F38,Settings!$A$16:$A$23,0))&amp;"",""))</f>
        <v/>
      </c>
    </row>
    <row r="39">
      <c r="A39" s="24" t="inlineStr">
        <is>
          <t>G-038</t>
        </is>
      </c>
      <c r="B39" s="30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>
        <f>IF(D39="","",COUNTIFS(Matches!$D$2:$D$501,A39,Matches!$L$2:$L$501,"&lt;&gt;Withdrawn"))</f>
        <v/>
      </c>
      <c r="O39" s="24">
        <f>IF(D39="","",MAX(0,IFERROR(--K39,1)-N39))</f>
        <v/>
      </c>
      <c r="P39" s="24">
        <f>IF(D39="","",IFERROR(INDEX(Settings!$B$16:$B$23,MATCH(F39,Settings!$A$16:$A$23,0))&amp;"",""))</f>
        <v/>
      </c>
    </row>
    <row r="40">
      <c r="A40" s="24" t="inlineStr">
        <is>
          <t>G-039</t>
        </is>
      </c>
      <c r="B40" s="30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>
        <f>IF(D40="","",COUNTIFS(Matches!$D$2:$D$501,A40,Matches!$L$2:$L$501,"&lt;&gt;Withdrawn"))</f>
        <v/>
      </c>
      <c r="O40" s="24">
        <f>IF(D40="","",MAX(0,IFERROR(--K40,1)-N40))</f>
        <v/>
      </c>
      <c r="P40" s="24">
        <f>IF(D40="","",IFERROR(INDEX(Settings!$B$16:$B$23,MATCH(F40,Settings!$A$16:$A$23,0))&amp;"",""))</f>
        <v/>
      </c>
    </row>
    <row r="41">
      <c r="A41" s="24" t="inlineStr">
        <is>
          <t>G-040</t>
        </is>
      </c>
      <c r="B41" s="30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>
        <f>IF(D41="","",COUNTIFS(Matches!$D$2:$D$501,A41,Matches!$L$2:$L$501,"&lt;&gt;Withdrawn"))</f>
        <v/>
      </c>
      <c r="O41" s="24">
        <f>IF(D41="","",MAX(0,IFERROR(--K41,1)-N41))</f>
        <v/>
      </c>
      <c r="P41" s="24">
        <f>IF(D41="","",IFERROR(INDEX(Settings!$B$16:$B$23,MATCH(F41,Settings!$A$16:$A$23,0))&amp;"",""))</f>
        <v/>
      </c>
    </row>
    <row r="42">
      <c r="A42" s="24" t="inlineStr">
        <is>
          <t>G-041</t>
        </is>
      </c>
      <c r="B42" s="30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>
        <f>IF(D42="","",COUNTIFS(Matches!$D$2:$D$501,A42,Matches!$L$2:$L$501,"&lt;&gt;Withdrawn"))</f>
        <v/>
      </c>
      <c r="O42" s="24">
        <f>IF(D42="","",MAX(0,IFERROR(--K42,1)-N42))</f>
        <v/>
      </c>
      <c r="P42" s="24">
        <f>IF(D42="","",IFERROR(INDEX(Settings!$B$16:$B$23,MATCH(F42,Settings!$A$16:$A$23,0))&amp;"",""))</f>
        <v/>
      </c>
    </row>
    <row r="43">
      <c r="A43" s="24" t="inlineStr">
        <is>
          <t>G-042</t>
        </is>
      </c>
      <c r="B43" s="30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>
        <f>IF(D43="","",COUNTIFS(Matches!$D$2:$D$501,A43,Matches!$L$2:$L$501,"&lt;&gt;Withdrawn"))</f>
        <v/>
      </c>
      <c r="O43" s="24">
        <f>IF(D43="","",MAX(0,IFERROR(--K43,1)-N43))</f>
        <v/>
      </c>
      <c r="P43" s="24">
        <f>IF(D43="","",IFERROR(INDEX(Settings!$B$16:$B$23,MATCH(F43,Settings!$A$16:$A$23,0))&amp;"",""))</f>
        <v/>
      </c>
    </row>
    <row r="44">
      <c r="A44" s="24" t="inlineStr">
        <is>
          <t>G-043</t>
        </is>
      </c>
      <c r="B44" s="30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>
        <f>IF(D44="","",COUNTIFS(Matches!$D$2:$D$501,A44,Matches!$L$2:$L$501,"&lt;&gt;Withdrawn"))</f>
        <v/>
      </c>
      <c r="O44" s="24">
        <f>IF(D44="","",MAX(0,IFERROR(--K44,1)-N44))</f>
        <v/>
      </c>
      <c r="P44" s="24">
        <f>IF(D44="","",IFERROR(INDEX(Settings!$B$16:$B$23,MATCH(F44,Settings!$A$16:$A$23,0))&amp;"",""))</f>
        <v/>
      </c>
    </row>
    <row r="45">
      <c r="A45" s="24" t="inlineStr">
        <is>
          <t>G-044</t>
        </is>
      </c>
      <c r="B45" s="30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>
        <f>IF(D45="","",COUNTIFS(Matches!$D$2:$D$501,A45,Matches!$L$2:$L$501,"&lt;&gt;Withdrawn"))</f>
        <v/>
      </c>
      <c r="O45" s="24">
        <f>IF(D45="","",MAX(0,IFERROR(--K45,1)-N45))</f>
        <v/>
      </c>
      <c r="P45" s="24">
        <f>IF(D45="","",IFERROR(INDEX(Settings!$B$16:$B$23,MATCH(F45,Settings!$A$16:$A$23,0))&amp;"",""))</f>
        <v/>
      </c>
    </row>
    <row r="46">
      <c r="A46" s="24" t="inlineStr">
        <is>
          <t>G-045</t>
        </is>
      </c>
      <c r="B46" s="30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>
        <f>IF(D46="","",COUNTIFS(Matches!$D$2:$D$501,A46,Matches!$L$2:$L$501,"&lt;&gt;Withdrawn"))</f>
        <v/>
      </c>
      <c r="O46" s="24">
        <f>IF(D46="","",MAX(0,IFERROR(--K46,1)-N46))</f>
        <v/>
      </c>
      <c r="P46" s="24">
        <f>IF(D46="","",IFERROR(INDEX(Settings!$B$16:$B$23,MATCH(F46,Settings!$A$16:$A$23,0))&amp;"",""))</f>
        <v/>
      </c>
    </row>
    <row r="47">
      <c r="A47" s="24" t="inlineStr">
        <is>
          <t>G-046</t>
        </is>
      </c>
      <c r="B47" s="30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>
        <f>IF(D47="","",COUNTIFS(Matches!$D$2:$D$501,A47,Matches!$L$2:$L$501,"&lt;&gt;Withdrawn"))</f>
        <v/>
      </c>
      <c r="O47" s="24">
        <f>IF(D47="","",MAX(0,IFERROR(--K47,1)-N47))</f>
        <v/>
      </c>
      <c r="P47" s="24">
        <f>IF(D47="","",IFERROR(INDEX(Settings!$B$16:$B$23,MATCH(F47,Settings!$A$16:$A$23,0))&amp;"",""))</f>
        <v/>
      </c>
    </row>
    <row r="48">
      <c r="A48" s="24" t="inlineStr">
        <is>
          <t>G-047</t>
        </is>
      </c>
      <c r="B48" s="30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>
        <f>IF(D48="","",COUNTIFS(Matches!$D$2:$D$501,A48,Matches!$L$2:$L$501,"&lt;&gt;Withdrawn"))</f>
        <v/>
      </c>
      <c r="O48" s="24">
        <f>IF(D48="","",MAX(0,IFERROR(--K48,1)-N48))</f>
        <v/>
      </c>
      <c r="P48" s="24">
        <f>IF(D48="","",IFERROR(INDEX(Settings!$B$16:$B$23,MATCH(F48,Settings!$A$16:$A$23,0))&amp;"",""))</f>
        <v/>
      </c>
    </row>
    <row r="49">
      <c r="A49" s="24" t="inlineStr">
        <is>
          <t>G-048</t>
        </is>
      </c>
      <c r="B49" s="30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>
        <f>IF(D49="","",COUNTIFS(Matches!$D$2:$D$501,A49,Matches!$L$2:$L$501,"&lt;&gt;Withdrawn"))</f>
        <v/>
      </c>
      <c r="O49" s="24">
        <f>IF(D49="","",MAX(0,IFERROR(--K49,1)-N49))</f>
        <v/>
      </c>
      <c r="P49" s="24">
        <f>IF(D49="","",IFERROR(INDEX(Settings!$B$16:$B$23,MATCH(F49,Settings!$A$16:$A$23,0))&amp;"",""))</f>
        <v/>
      </c>
    </row>
    <row r="50">
      <c r="A50" s="24" t="inlineStr">
        <is>
          <t>G-049</t>
        </is>
      </c>
      <c r="B50" s="30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>
        <f>IF(D50="","",COUNTIFS(Matches!$D$2:$D$501,A50,Matches!$L$2:$L$501,"&lt;&gt;Withdrawn"))</f>
        <v/>
      </c>
      <c r="O50" s="24">
        <f>IF(D50="","",MAX(0,IFERROR(--K50,1)-N50))</f>
        <v/>
      </c>
      <c r="P50" s="24">
        <f>IF(D50="","",IFERROR(INDEX(Settings!$B$16:$B$23,MATCH(F50,Settings!$A$16:$A$23,0))&amp;"",""))</f>
        <v/>
      </c>
    </row>
    <row r="51">
      <c r="A51" s="24" t="inlineStr">
        <is>
          <t>G-050</t>
        </is>
      </c>
      <c r="B51" s="30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>
        <f>IF(D51="","",COUNTIFS(Matches!$D$2:$D$501,A51,Matches!$L$2:$L$501,"&lt;&gt;Withdrawn"))</f>
        <v/>
      </c>
      <c r="O51" s="24">
        <f>IF(D51="","",MAX(0,IFERROR(--K51,1)-N51))</f>
        <v/>
      </c>
      <c r="P51" s="24">
        <f>IF(D51="","",IFERROR(INDEX(Settings!$B$16:$B$23,MATCH(F51,Settings!$A$16:$A$23,0))&amp;"",""))</f>
        <v/>
      </c>
    </row>
    <row r="52">
      <c r="A52" s="24" t="inlineStr">
        <is>
          <t>G-051</t>
        </is>
      </c>
      <c r="B52" s="30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>
        <f>IF(D52="","",COUNTIFS(Matches!$D$2:$D$501,A52,Matches!$L$2:$L$501,"&lt;&gt;Withdrawn"))</f>
        <v/>
      </c>
      <c r="O52" s="24">
        <f>IF(D52="","",MAX(0,IFERROR(--K52,1)-N52))</f>
        <v/>
      </c>
      <c r="P52" s="24">
        <f>IF(D52="","",IFERROR(INDEX(Settings!$B$16:$B$23,MATCH(F52,Settings!$A$16:$A$23,0))&amp;"",""))</f>
        <v/>
      </c>
    </row>
    <row r="53">
      <c r="A53" s="24" t="inlineStr">
        <is>
          <t>G-052</t>
        </is>
      </c>
      <c r="B53" s="30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>
        <f>IF(D53="","",COUNTIFS(Matches!$D$2:$D$501,A53,Matches!$L$2:$L$501,"&lt;&gt;Withdrawn"))</f>
        <v/>
      </c>
      <c r="O53" s="24">
        <f>IF(D53="","",MAX(0,IFERROR(--K53,1)-N53))</f>
        <v/>
      </c>
      <c r="P53" s="24">
        <f>IF(D53="","",IFERROR(INDEX(Settings!$B$16:$B$23,MATCH(F53,Settings!$A$16:$A$23,0))&amp;"",""))</f>
        <v/>
      </c>
    </row>
    <row r="54">
      <c r="A54" s="24" t="inlineStr">
        <is>
          <t>G-053</t>
        </is>
      </c>
      <c r="B54" s="30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>
        <f>IF(D54="","",COUNTIFS(Matches!$D$2:$D$501,A54,Matches!$L$2:$L$501,"&lt;&gt;Withdrawn"))</f>
        <v/>
      </c>
      <c r="O54" s="24">
        <f>IF(D54="","",MAX(0,IFERROR(--K54,1)-N54))</f>
        <v/>
      </c>
      <c r="P54" s="24">
        <f>IF(D54="","",IFERROR(INDEX(Settings!$B$16:$B$23,MATCH(F54,Settings!$A$16:$A$23,0))&amp;"",""))</f>
        <v/>
      </c>
    </row>
    <row r="55">
      <c r="A55" s="24" t="inlineStr">
        <is>
          <t>G-054</t>
        </is>
      </c>
      <c r="B55" s="30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>
        <f>IF(D55="","",COUNTIFS(Matches!$D$2:$D$501,A55,Matches!$L$2:$L$501,"&lt;&gt;Withdrawn"))</f>
        <v/>
      </c>
      <c r="O55" s="24">
        <f>IF(D55="","",MAX(0,IFERROR(--K55,1)-N55))</f>
        <v/>
      </c>
      <c r="P55" s="24">
        <f>IF(D55="","",IFERROR(INDEX(Settings!$B$16:$B$23,MATCH(F55,Settings!$A$16:$A$23,0))&amp;"",""))</f>
        <v/>
      </c>
    </row>
    <row r="56">
      <c r="A56" s="24" t="inlineStr">
        <is>
          <t>G-055</t>
        </is>
      </c>
      <c r="B56" s="30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>
        <f>IF(D56="","",COUNTIFS(Matches!$D$2:$D$501,A56,Matches!$L$2:$L$501,"&lt;&gt;Withdrawn"))</f>
        <v/>
      </c>
      <c r="O56" s="24">
        <f>IF(D56="","",MAX(0,IFERROR(--K56,1)-N56))</f>
        <v/>
      </c>
      <c r="P56" s="24">
        <f>IF(D56="","",IFERROR(INDEX(Settings!$B$16:$B$23,MATCH(F56,Settings!$A$16:$A$23,0))&amp;"",""))</f>
        <v/>
      </c>
    </row>
    <row r="57">
      <c r="A57" s="24" t="inlineStr">
        <is>
          <t>G-056</t>
        </is>
      </c>
      <c r="B57" s="30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>
        <f>IF(D57="","",COUNTIFS(Matches!$D$2:$D$501,A57,Matches!$L$2:$L$501,"&lt;&gt;Withdrawn"))</f>
        <v/>
      </c>
      <c r="O57" s="24">
        <f>IF(D57="","",MAX(0,IFERROR(--K57,1)-N57))</f>
        <v/>
      </c>
      <c r="P57" s="24">
        <f>IF(D57="","",IFERROR(INDEX(Settings!$B$16:$B$23,MATCH(F57,Settings!$A$16:$A$23,0))&amp;"",""))</f>
        <v/>
      </c>
    </row>
    <row r="58">
      <c r="A58" s="24" t="inlineStr">
        <is>
          <t>G-057</t>
        </is>
      </c>
      <c r="B58" s="30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>
        <f>IF(D58="","",COUNTIFS(Matches!$D$2:$D$501,A58,Matches!$L$2:$L$501,"&lt;&gt;Withdrawn"))</f>
        <v/>
      </c>
      <c r="O58" s="24">
        <f>IF(D58="","",MAX(0,IFERROR(--K58,1)-N58))</f>
        <v/>
      </c>
      <c r="P58" s="24">
        <f>IF(D58="","",IFERROR(INDEX(Settings!$B$16:$B$23,MATCH(F58,Settings!$A$16:$A$23,0))&amp;"",""))</f>
        <v/>
      </c>
    </row>
    <row r="59">
      <c r="A59" s="24" t="inlineStr">
        <is>
          <t>G-058</t>
        </is>
      </c>
      <c r="B59" s="30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>
        <f>IF(D59="","",COUNTIFS(Matches!$D$2:$D$501,A59,Matches!$L$2:$L$501,"&lt;&gt;Withdrawn"))</f>
        <v/>
      </c>
      <c r="O59" s="24">
        <f>IF(D59="","",MAX(0,IFERROR(--K59,1)-N59))</f>
        <v/>
      </c>
      <c r="P59" s="24">
        <f>IF(D59="","",IFERROR(INDEX(Settings!$B$16:$B$23,MATCH(F59,Settings!$A$16:$A$23,0))&amp;"",""))</f>
        <v/>
      </c>
    </row>
    <row r="60">
      <c r="A60" s="24" t="inlineStr">
        <is>
          <t>G-059</t>
        </is>
      </c>
      <c r="B60" s="30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>
        <f>IF(D60="","",COUNTIFS(Matches!$D$2:$D$501,A60,Matches!$L$2:$L$501,"&lt;&gt;Withdrawn"))</f>
        <v/>
      </c>
      <c r="O60" s="24">
        <f>IF(D60="","",MAX(0,IFERROR(--K60,1)-N60))</f>
        <v/>
      </c>
      <c r="P60" s="24">
        <f>IF(D60="","",IFERROR(INDEX(Settings!$B$16:$B$23,MATCH(F60,Settings!$A$16:$A$23,0))&amp;"",""))</f>
        <v/>
      </c>
    </row>
    <row r="61">
      <c r="A61" s="24" t="inlineStr">
        <is>
          <t>G-060</t>
        </is>
      </c>
      <c r="B61" s="30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>
        <f>IF(D61="","",COUNTIFS(Matches!$D$2:$D$501,A61,Matches!$L$2:$L$501,"&lt;&gt;Withdrawn"))</f>
        <v/>
      </c>
      <c r="O61" s="24">
        <f>IF(D61="","",MAX(0,IFERROR(--K61,1)-N61))</f>
        <v/>
      </c>
      <c r="P61" s="24">
        <f>IF(D61="","",IFERROR(INDEX(Settings!$B$16:$B$23,MATCH(F61,Settings!$A$16:$A$23,0))&amp;"",""))</f>
        <v/>
      </c>
    </row>
    <row r="62">
      <c r="A62" s="24" t="inlineStr">
        <is>
          <t>G-061</t>
        </is>
      </c>
      <c r="B62" s="30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>
        <f>IF(D62="","",COUNTIFS(Matches!$D$2:$D$501,A62,Matches!$L$2:$L$501,"&lt;&gt;Withdrawn"))</f>
        <v/>
      </c>
      <c r="O62" s="24">
        <f>IF(D62="","",MAX(0,IFERROR(--K62,1)-N62))</f>
        <v/>
      </c>
      <c r="P62" s="24">
        <f>IF(D62="","",IFERROR(INDEX(Settings!$B$16:$B$23,MATCH(F62,Settings!$A$16:$A$23,0))&amp;"",""))</f>
        <v/>
      </c>
    </row>
    <row r="63">
      <c r="A63" s="24" t="inlineStr">
        <is>
          <t>G-062</t>
        </is>
      </c>
      <c r="B63" s="30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>
        <f>IF(D63="","",COUNTIFS(Matches!$D$2:$D$501,A63,Matches!$L$2:$L$501,"&lt;&gt;Withdrawn"))</f>
        <v/>
      </c>
      <c r="O63" s="24">
        <f>IF(D63="","",MAX(0,IFERROR(--K63,1)-N63))</f>
        <v/>
      </c>
      <c r="P63" s="24">
        <f>IF(D63="","",IFERROR(INDEX(Settings!$B$16:$B$23,MATCH(F63,Settings!$A$16:$A$23,0))&amp;"",""))</f>
        <v/>
      </c>
    </row>
    <row r="64">
      <c r="A64" s="24" t="inlineStr">
        <is>
          <t>G-063</t>
        </is>
      </c>
      <c r="B64" s="30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>
        <f>IF(D64="","",COUNTIFS(Matches!$D$2:$D$501,A64,Matches!$L$2:$L$501,"&lt;&gt;Withdrawn"))</f>
        <v/>
      </c>
      <c r="O64" s="24">
        <f>IF(D64="","",MAX(0,IFERROR(--K64,1)-N64))</f>
        <v/>
      </c>
      <c r="P64" s="24">
        <f>IF(D64="","",IFERROR(INDEX(Settings!$B$16:$B$23,MATCH(F64,Settings!$A$16:$A$23,0))&amp;"",""))</f>
        <v/>
      </c>
    </row>
    <row r="65">
      <c r="A65" s="24" t="inlineStr">
        <is>
          <t>G-064</t>
        </is>
      </c>
      <c r="B65" s="30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>
        <f>IF(D65="","",COUNTIFS(Matches!$D$2:$D$501,A65,Matches!$L$2:$L$501,"&lt;&gt;Withdrawn"))</f>
        <v/>
      </c>
      <c r="O65" s="24">
        <f>IF(D65="","",MAX(0,IFERROR(--K65,1)-N65))</f>
        <v/>
      </c>
      <c r="P65" s="24">
        <f>IF(D65="","",IFERROR(INDEX(Settings!$B$16:$B$23,MATCH(F65,Settings!$A$16:$A$23,0))&amp;"",""))</f>
        <v/>
      </c>
    </row>
    <row r="66">
      <c r="A66" s="24" t="inlineStr">
        <is>
          <t>G-065</t>
        </is>
      </c>
      <c r="B66" s="30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>
        <f>IF(D66="","",COUNTIFS(Matches!$D$2:$D$501,A66,Matches!$L$2:$L$501,"&lt;&gt;Withdrawn"))</f>
        <v/>
      </c>
      <c r="O66" s="24">
        <f>IF(D66="","",MAX(0,IFERROR(--K66,1)-N66))</f>
        <v/>
      </c>
      <c r="P66" s="24">
        <f>IF(D66="","",IFERROR(INDEX(Settings!$B$16:$B$23,MATCH(F66,Settings!$A$16:$A$23,0))&amp;"",""))</f>
        <v/>
      </c>
    </row>
    <row r="67">
      <c r="A67" s="24" t="inlineStr">
        <is>
          <t>G-066</t>
        </is>
      </c>
      <c r="B67" s="30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>
        <f>IF(D67="","",COUNTIFS(Matches!$D$2:$D$501,A67,Matches!$L$2:$L$501,"&lt;&gt;Withdrawn"))</f>
        <v/>
      </c>
      <c r="O67" s="24">
        <f>IF(D67="","",MAX(0,IFERROR(--K67,1)-N67))</f>
        <v/>
      </c>
      <c r="P67" s="24">
        <f>IF(D67="","",IFERROR(INDEX(Settings!$B$16:$B$23,MATCH(F67,Settings!$A$16:$A$23,0))&amp;"",""))</f>
        <v/>
      </c>
    </row>
    <row r="68">
      <c r="A68" s="24" t="inlineStr">
        <is>
          <t>G-067</t>
        </is>
      </c>
      <c r="B68" s="30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>
        <f>IF(D68="","",COUNTIFS(Matches!$D$2:$D$501,A68,Matches!$L$2:$L$501,"&lt;&gt;Withdrawn"))</f>
        <v/>
      </c>
      <c r="O68" s="24">
        <f>IF(D68="","",MAX(0,IFERROR(--K68,1)-N68))</f>
        <v/>
      </c>
      <c r="P68" s="24">
        <f>IF(D68="","",IFERROR(INDEX(Settings!$B$16:$B$23,MATCH(F68,Settings!$A$16:$A$23,0))&amp;"",""))</f>
        <v/>
      </c>
    </row>
    <row r="69">
      <c r="A69" s="24" t="inlineStr">
        <is>
          <t>G-068</t>
        </is>
      </c>
      <c r="B69" s="30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>
        <f>IF(D69="","",COUNTIFS(Matches!$D$2:$D$501,A69,Matches!$L$2:$L$501,"&lt;&gt;Withdrawn"))</f>
        <v/>
      </c>
      <c r="O69" s="24">
        <f>IF(D69="","",MAX(0,IFERROR(--K69,1)-N69))</f>
        <v/>
      </c>
      <c r="P69" s="24">
        <f>IF(D69="","",IFERROR(INDEX(Settings!$B$16:$B$23,MATCH(F69,Settings!$A$16:$A$23,0))&amp;"",""))</f>
        <v/>
      </c>
    </row>
    <row r="70">
      <c r="A70" s="24" t="inlineStr">
        <is>
          <t>G-069</t>
        </is>
      </c>
      <c r="B70" s="30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>
        <f>IF(D70="","",COUNTIFS(Matches!$D$2:$D$501,A70,Matches!$L$2:$L$501,"&lt;&gt;Withdrawn"))</f>
        <v/>
      </c>
      <c r="O70" s="24">
        <f>IF(D70="","",MAX(0,IFERROR(--K70,1)-N70))</f>
        <v/>
      </c>
      <c r="P70" s="24">
        <f>IF(D70="","",IFERROR(INDEX(Settings!$B$16:$B$23,MATCH(F70,Settings!$A$16:$A$23,0))&amp;"",""))</f>
        <v/>
      </c>
    </row>
    <row r="71">
      <c r="A71" s="24" t="inlineStr">
        <is>
          <t>G-070</t>
        </is>
      </c>
      <c r="B71" s="30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>
        <f>IF(D71="","",COUNTIFS(Matches!$D$2:$D$501,A71,Matches!$L$2:$L$501,"&lt;&gt;Withdrawn"))</f>
        <v/>
      </c>
      <c r="O71" s="24">
        <f>IF(D71="","",MAX(0,IFERROR(--K71,1)-N71))</f>
        <v/>
      </c>
      <c r="P71" s="24">
        <f>IF(D71="","",IFERROR(INDEX(Settings!$B$16:$B$23,MATCH(F71,Settings!$A$16:$A$23,0))&amp;"",""))</f>
        <v/>
      </c>
    </row>
    <row r="72">
      <c r="A72" s="24" t="inlineStr">
        <is>
          <t>G-071</t>
        </is>
      </c>
      <c r="B72" s="30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>
        <f>IF(D72="","",COUNTIFS(Matches!$D$2:$D$501,A72,Matches!$L$2:$L$501,"&lt;&gt;Withdrawn"))</f>
        <v/>
      </c>
      <c r="O72" s="24">
        <f>IF(D72="","",MAX(0,IFERROR(--K72,1)-N72))</f>
        <v/>
      </c>
      <c r="P72" s="24">
        <f>IF(D72="","",IFERROR(INDEX(Settings!$B$16:$B$23,MATCH(F72,Settings!$A$16:$A$23,0))&amp;"",""))</f>
        <v/>
      </c>
    </row>
    <row r="73">
      <c r="A73" s="24" t="inlineStr">
        <is>
          <t>G-072</t>
        </is>
      </c>
      <c r="B73" s="30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>
        <f>IF(D73="","",COUNTIFS(Matches!$D$2:$D$501,A73,Matches!$L$2:$L$501,"&lt;&gt;Withdrawn"))</f>
        <v/>
      </c>
      <c r="O73" s="24">
        <f>IF(D73="","",MAX(0,IFERROR(--K73,1)-N73))</f>
        <v/>
      </c>
      <c r="P73" s="24">
        <f>IF(D73="","",IFERROR(INDEX(Settings!$B$16:$B$23,MATCH(F73,Settings!$A$16:$A$23,0))&amp;"",""))</f>
        <v/>
      </c>
    </row>
    <row r="74">
      <c r="A74" s="24" t="inlineStr">
        <is>
          <t>G-073</t>
        </is>
      </c>
      <c r="B74" s="30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>
        <f>IF(D74="","",COUNTIFS(Matches!$D$2:$D$501,A74,Matches!$L$2:$L$501,"&lt;&gt;Withdrawn"))</f>
        <v/>
      </c>
      <c r="O74" s="24">
        <f>IF(D74="","",MAX(0,IFERROR(--K74,1)-N74))</f>
        <v/>
      </c>
      <c r="P74" s="24">
        <f>IF(D74="","",IFERROR(INDEX(Settings!$B$16:$B$23,MATCH(F74,Settings!$A$16:$A$23,0))&amp;"",""))</f>
        <v/>
      </c>
    </row>
    <row r="75">
      <c r="A75" s="24" t="inlineStr">
        <is>
          <t>G-074</t>
        </is>
      </c>
      <c r="B75" s="30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>
        <f>IF(D75="","",COUNTIFS(Matches!$D$2:$D$501,A75,Matches!$L$2:$L$501,"&lt;&gt;Withdrawn"))</f>
        <v/>
      </c>
      <c r="O75" s="24">
        <f>IF(D75="","",MAX(0,IFERROR(--K75,1)-N75))</f>
        <v/>
      </c>
      <c r="P75" s="24">
        <f>IF(D75="","",IFERROR(INDEX(Settings!$B$16:$B$23,MATCH(F75,Settings!$A$16:$A$23,0))&amp;"",""))</f>
        <v/>
      </c>
    </row>
    <row r="76">
      <c r="A76" s="24" t="inlineStr">
        <is>
          <t>G-075</t>
        </is>
      </c>
      <c r="B76" s="30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>
        <f>IF(D76="","",COUNTIFS(Matches!$D$2:$D$501,A76,Matches!$L$2:$L$501,"&lt;&gt;Withdrawn"))</f>
        <v/>
      </c>
      <c r="O76" s="24">
        <f>IF(D76="","",MAX(0,IFERROR(--K76,1)-N76))</f>
        <v/>
      </c>
      <c r="P76" s="24">
        <f>IF(D76="","",IFERROR(INDEX(Settings!$B$16:$B$23,MATCH(F76,Settings!$A$16:$A$23,0))&amp;"",""))</f>
        <v/>
      </c>
    </row>
    <row r="77">
      <c r="A77" s="24" t="inlineStr">
        <is>
          <t>G-076</t>
        </is>
      </c>
      <c r="B77" s="30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>
        <f>IF(D77="","",COUNTIFS(Matches!$D$2:$D$501,A77,Matches!$L$2:$L$501,"&lt;&gt;Withdrawn"))</f>
        <v/>
      </c>
      <c r="O77" s="24">
        <f>IF(D77="","",MAX(0,IFERROR(--K77,1)-N77))</f>
        <v/>
      </c>
      <c r="P77" s="24">
        <f>IF(D77="","",IFERROR(INDEX(Settings!$B$16:$B$23,MATCH(F77,Settings!$A$16:$A$23,0))&amp;"",""))</f>
        <v/>
      </c>
    </row>
    <row r="78">
      <c r="A78" s="24" t="inlineStr">
        <is>
          <t>G-077</t>
        </is>
      </c>
      <c r="B78" s="30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>
        <f>IF(D78="","",COUNTIFS(Matches!$D$2:$D$501,A78,Matches!$L$2:$L$501,"&lt;&gt;Withdrawn"))</f>
        <v/>
      </c>
      <c r="O78" s="24">
        <f>IF(D78="","",MAX(0,IFERROR(--K78,1)-N78))</f>
        <v/>
      </c>
      <c r="P78" s="24">
        <f>IF(D78="","",IFERROR(INDEX(Settings!$B$16:$B$23,MATCH(F78,Settings!$A$16:$A$23,0))&amp;"",""))</f>
        <v/>
      </c>
    </row>
    <row r="79">
      <c r="A79" s="24" t="inlineStr">
        <is>
          <t>G-078</t>
        </is>
      </c>
      <c r="B79" s="30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>
        <f>IF(D79="","",COUNTIFS(Matches!$D$2:$D$501,A79,Matches!$L$2:$L$501,"&lt;&gt;Withdrawn"))</f>
        <v/>
      </c>
      <c r="O79" s="24">
        <f>IF(D79="","",MAX(0,IFERROR(--K79,1)-N79))</f>
        <v/>
      </c>
      <c r="P79" s="24">
        <f>IF(D79="","",IFERROR(INDEX(Settings!$B$16:$B$23,MATCH(F79,Settings!$A$16:$A$23,0))&amp;"",""))</f>
        <v/>
      </c>
    </row>
    <row r="80">
      <c r="A80" s="24" t="inlineStr">
        <is>
          <t>G-079</t>
        </is>
      </c>
      <c r="B80" s="30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>
        <f>IF(D80="","",COUNTIFS(Matches!$D$2:$D$501,A80,Matches!$L$2:$L$501,"&lt;&gt;Withdrawn"))</f>
        <v/>
      </c>
      <c r="O80" s="24">
        <f>IF(D80="","",MAX(0,IFERROR(--K80,1)-N80))</f>
        <v/>
      </c>
      <c r="P80" s="24">
        <f>IF(D80="","",IFERROR(INDEX(Settings!$B$16:$B$23,MATCH(F80,Settings!$A$16:$A$23,0))&amp;"",""))</f>
        <v/>
      </c>
    </row>
    <row r="81">
      <c r="A81" s="24" t="inlineStr">
        <is>
          <t>G-080</t>
        </is>
      </c>
      <c r="B81" s="30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>
        <f>IF(D81="","",COUNTIFS(Matches!$D$2:$D$501,A81,Matches!$L$2:$L$501,"&lt;&gt;Withdrawn"))</f>
        <v/>
      </c>
      <c r="O81" s="24">
        <f>IF(D81="","",MAX(0,IFERROR(--K81,1)-N81))</f>
        <v/>
      </c>
      <c r="P81" s="24">
        <f>IF(D81="","",IFERROR(INDEX(Settings!$B$16:$B$23,MATCH(F81,Settings!$A$16:$A$23,0))&amp;"",""))</f>
        <v/>
      </c>
    </row>
    <row r="82">
      <c r="A82" s="24" t="inlineStr">
        <is>
          <t>G-081</t>
        </is>
      </c>
      <c r="B82" s="30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>
        <f>IF(D82="","",COUNTIFS(Matches!$D$2:$D$501,A82,Matches!$L$2:$L$501,"&lt;&gt;Withdrawn"))</f>
        <v/>
      </c>
      <c r="O82" s="24">
        <f>IF(D82="","",MAX(0,IFERROR(--K82,1)-N82))</f>
        <v/>
      </c>
      <c r="P82" s="24">
        <f>IF(D82="","",IFERROR(INDEX(Settings!$B$16:$B$23,MATCH(F82,Settings!$A$16:$A$23,0))&amp;"",""))</f>
        <v/>
      </c>
    </row>
    <row r="83">
      <c r="A83" s="24" t="inlineStr">
        <is>
          <t>G-082</t>
        </is>
      </c>
      <c r="B83" s="30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>
        <f>IF(D83="","",COUNTIFS(Matches!$D$2:$D$501,A83,Matches!$L$2:$L$501,"&lt;&gt;Withdrawn"))</f>
        <v/>
      </c>
      <c r="O83" s="24">
        <f>IF(D83="","",MAX(0,IFERROR(--K83,1)-N83))</f>
        <v/>
      </c>
      <c r="P83" s="24">
        <f>IF(D83="","",IFERROR(INDEX(Settings!$B$16:$B$23,MATCH(F83,Settings!$A$16:$A$23,0))&amp;"",""))</f>
        <v/>
      </c>
    </row>
    <row r="84">
      <c r="A84" s="24" t="inlineStr">
        <is>
          <t>G-083</t>
        </is>
      </c>
      <c r="B84" s="30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>
        <f>IF(D84="","",COUNTIFS(Matches!$D$2:$D$501,A84,Matches!$L$2:$L$501,"&lt;&gt;Withdrawn"))</f>
        <v/>
      </c>
      <c r="O84" s="24">
        <f>IF(D84="","",MAX(0,IFERROR(--K84,1)-N84))</f>
        <v/>
      </c>
      <c r="P84" s="24">
        <f>IF(D84="","",IFERROR(INDEX(Settings!$B$16:$B$23,MATCH(F84,Settings!$A$16:$A$23,0))&amp;"",""))</f>
        <v/>
      </c>
    </row>
    <row r="85">
      <c r="A85" s="24" t="inlineStr">
        <is>
          <t>G-084</t>
        </is>
      </c>
      <c r="B85" s="30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>
        <f>IF(D85="","",COUNTIFS(Matches!$D$2:$D$501,A85,Matches!$L$2:$L$501,"&lt;&gt;Withdrawn"))</f>
        <v/>
      </c>
      <c r="O85" s="24">
        <f>IF(D85="","",MAX(0,IFERROR(--K85,1)-N85))</f>
        <v/>
      </c>
      <c r="P85" s="24">
        <f>IF(D85="","",IFERROR(INDEX(Settings!$B$16:$B$23,MATCH(F85,Settings!$A$16:$A$23,0))&amp;"",""))</f>
        <v/>
      </c>
    </row>
    <row r="86">
      <c r="A86" s="24" t="inlineStr">
        <is>
          <t>G-085</t>
        </is>
      </c>
      <c r="B86" s="30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>
        <f>IF(D86="","",COUNTIFS(Matches!$D$2:$D$501,A86,Matches!$L$2:$L$501,"&lt;&gt;Withdrawn"))</f>
        <v/>
      </c>
      <c r="O86" s="24">
        <f>IF(D86="","",MAX(0,IFERROR(--K86,1)-N86))</f>
        <v/>
      </c>
      <c r="P86" s="24">
        <f>IF(D86="","",IFERROR(INDEX(Settings!$B$16:$B$23,MATCH(F86,Settings!$A$16:$A$23,0))&amp;"",""))</f>
        <v/>
      </c>
    </row>
    <row r="87">
      <c r="A87" s="24" t="inlineStr">
        <is>
          <t>G-086</t>
        </is>
      </c>
      <c r="B87" s="30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>
        <f>IF(D87="","",COUNTIFS(Matches!$D$2:$D$501,A87,Matches!$L$2:$L$501,"&lt;&gt;Withdrawn"))</f>
        <v/>
      </c>
      <c r="O87" s="24">
        <f>IF(D87="","",MAX(0,IFERROR(--K87,1)-N87))</f>
        <v/>
      </c>
      <c r="P87" s="24">
        <f>IF(D87="","",IFERROR(INDEX(Settings!$B$16:$B$23,MATCH(F87,Settings!$A$16:$A$23,0))&amp;"",""))</f>
        <v/>
      </c>
    </row>
    <row r="88">
      <c r="A88" s="24" t="inlineStr">
        <is>
          <t>G-087</t>
        </is>
      </c>
      <c r="B88" s="30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>
        <f>IF(D88="","",COUNTIFS(Matches!$D$2:$D$501,A88,Matches!$L$2:$L$501,"&lt;&gt;Withdrawn"))</f>
        <v/>
      </c>
      <c r="O88" s="24">
        <f>IF(D88="","",MAX(0,IFERROR(--K88,1)-N88))</f>
        <v/>
      </c>
      <c r="P88" s="24">
        <f>IF(D88="","",IFERROR(INDEX(Settings!$B$16:$B$23,MATCH(F88,Settings!$A$16:$A$23,0))&amp;"",""))</f>
        <v/>
      </c>
    </row>
    <row r="89">
      <c r="A89" s="24" t="inlineStr">
        <is>
          <t>G-088</t>
        </is>
      </c>
      <c r="B89" s="30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>
        <f>IF(D89="","",COUNTIFS(Matches!$D$2:$D$501,A89,Matches!$L$2:$L$501,"&lt;&gt;Withdrawn"))</f>
        <v/>
      </c>
      <c r="O89" s="24">
        <f>IF(D89="","",MAX(0,IFERROR(--K89,1)-N89))</f>
        <v/>
      </c>
      <c r="P89" s="24">
        <f>IF(D89="","",IFERROR(INDEX(Settings!$B$16:$B$23,MATCH(F89,Settings!$A$16:$A$23,0))&amp;"",""))</f>
        <v/>
      </c>
    </row>
    <row r="90">
      <c r="A90" s="24" t="inlineStr">
        <is>
          <t>G-089</t>
        </is>
      </c>
      <c r="B90" s="30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>
        <f>IF(D90="","",COUNTIFS(Matches!$D$2:$D$501,A90,Matches!$L$2:$L$501,"&lt;&gt;Withdrawn"))</f>
        <v/>
      </c>
      <c r="O90" s="24">
        <f>IF(D90="","",MAX(0,IFERROR(--K90,1)-N90))</f>
        <v/>
      </c>
      <c r="P90" s="24">
        <f>IF(D90="","",IFERROR(INDEX(Settings!$B$16:$B$23,MATCH(F90,Settings!$A$16:$A$23,0))&amp;"",""))</f>
        <v/>
      </c>
    </row>
    <row r="91">
      <c r="A91" s="24" t="inlineStr">
        <is>
          <t>G-090</t>
        </is>
      </c>
      <c r="B91" s="30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>
        <f>IF(D91="","",COUNTIFS(Matches!$D$2:$D$501,A91,Matches!$L$2:$L$501,"&lt;&gt;Withdrawn"))</f>
        <v/>
      </c>
      <c r="O91" s="24">
        <f>IF(D91="","",MAX(0,IFERROR(--K91,1)-N91))</f>
        <v/>
      </c>
      <c r="P91" s="24">
        <f>IF(D91="","",IFERROR(INDEX(Settings!$B$16:$B$23,MATCH(F91,Settings!$A$16:$A$23,0))&amp;"",""))</f>
        <v/>
      </c>
    </row>
    <row r="92">
      <c r="A92" s="24" t="inlineStr">
        <is>
          <t>G-091</t>
        </is>
      </c>
      <c r="B92" s="30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>
        <f>IF(D92="","",COUNTIFS(Matches!$D$2:$D$501,A92,Matches!$L$2:$L$501,"&lt;&gt;Withdrawn"))</f>
        <v/>
      </c>
      <c r="O92" s="24">
        <f>IF(D92="","",MAX(0,IFERROR(--K92,1)-N92))</f>
        <v/>
      </c>
      <c r="P92" s="24">
        <f>IF(D92="","",IFERROR(INDEX(Settings!$B$16:$B$23,MATCH(F92,Settings!$A$16:$A$23,0))&amp;"",""))</f>
        <v/>
      </c>
    </row>
    <row r="93">
      <c r="A93" s="24" t="inlineStr">
        <is>
          <t>G-092</t>
        </is>
      </c>
      <c r="B93" s="30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>
        <f>IF(D93="","",COUNTIFS(Matches!$D$2:$D$501,A93,Matches!$L$2:$L$501,"&lt;&gt;Withdrawn"))</f>
        <v/>
      </c>
      <c r="O93" s="24">
        <f>IF(D93="","",MAX(0,IFERROR(--K93,1)-N93))</f>
        <v/>
      </c>
      <c r="P93" s="24">
        <f>IF(D93="","",IFERROR(INDEX(Settings!$B$16:$B$23,MATCH(F93,Settings!$A$16:$A$23,0))&amp;"",""))</f>
        <v/>
      </c>
    </row>
    <row r="94">
      <c r="A94" s="24" t="inlineStr">
        <is>
          <t>G-093</t>
        </is>
      </c>
      <c r="B94" s="30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>
        <f>IF(D94="","",COUNTIFS(Matches!$D$2:$D$501,A94,Matches!$L$2:$L$501,"&lt;&gt;Withdrawn"))</f>
        <v/>
      </c>
      <c r="O94" s="24">
        <f>IF(D94="","",MAX(0,IFERROR(--K94,1)-N94))</f>
        <v/>
      </c>
      <c r="P94" s="24">
        <f>IF(D94="","",IFERROR(INDEX(Settings!$B$16:$B$23,MATCH(F94,Settings!$A$16:$A$23,0))&amp;"",""))</f>
        <v/>
      </c>
    </row>
    <row r="95">
      <c r="A95" s="24" t="inlineStr">
        <is>
          <t>G-094</t>
        </is>
      </c>
      <c r="B95" s="30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>
        <f>IF(D95="","",COUNTIFS(Matches!$D$2:$D$501,A95,Matches!$L$2:$L$501,"&lt;&gt;Withdrawn"))</f>
        <v/>
      </c>
      <c r="O95" s="24">
        <f>IF(D95="","",MAX(0,IFERROR(--K95,1)-N95))</f>
        <v/>
      </c>
      <c r="P95" s="24">
        <f>IF(D95="","",IFERROR(INDEX(Settings!$B$16:$B$23,MATCH(F95,Settings!$A$16:$A$23,0))&amp;"",""))</f>
        <v/>
      </c>
    </row>
    <row r="96">
      <c r="A96" s="24" t="inlineStr">
        <is>
          <t>G-095</t>
        </is>
      </c>
      <c r="B96" s="30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>
        <f>IF(D96="","",COUNTIFS(Matches!$D$2:$D$501,A96,Matches!$L$2:$L$501,"&lt;&gt;Withdrawn"))</f>
        <v/>
      </c>
      <c r="O96" s="24">
        <f>IF(D96="","",MAX(0,IFERROR(--K96,1)-N96))</f>
        <v/>
      </c>
      <c r="P96" s="24">
        <f>IF(D96="","",IFERROR(INDEX(Settings!$B$16:$B$23,MATCH(F96,Settings!$A$16:$A$23,0))&amp;"",""))</f>
        <v/>
      </c>
    </row>
    <row r="97">
      <c r="A97" s="24" t="inlineStr">
        <is>
          <t>G-096</t>
        </is>
      </c>
      <c r="B97" s="30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>
        <f>IF(D97="","",COUNTIFS(Matches!$D$2:$D$501,A97,Matches!$L$2:$L$501,"&lt;&gt;Withdrawn"))</f>
        <v/>
      </c>
      <c r="O97" s="24">
        <f>IF(D97="","",MAX(0,IFERROR(--K97,1)-N97))</f>
        <v/>
      </c>
      <c r="P97" s="24">
        <f>IF(D97="","",IFERROR(INDEX(Settings!$B$16:$B$23,MATCH(F97,Settings!$A$16:$A$23,0))&amp;"",""))</f>
        <v/>
      </c>
    </row>
    <row r="98">
      <c r="A98" s="24" t="inlineStr">
        <is>
          <t>G-097</t>
        </is>
      </c>
      <c r="B98" s="30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>
        <f>IF(D98="","",COUNTIFS(Matches!$D$2:$D$501,A98,Matches!$L$2:$L$501,"&lt;&gt;Withdrawn"))</f>
        <v/>
      </c>
      <c r="O98" s="24">
        <f>IF(D98="","",MAX(0,IFERROR(--K98,1)-N98))</f>
        <v/>
      </c>
      <c r="P98" s="24">
        <f>IF(D98="","",IFERROR(INDEX(Settings!$B$16:$B$23,MATCH(F98,Settings!$A$16:$A$23,0))&amp;"",""))</f>
        <v/>
      </c>
    </row>
    <row r="99">
      <c r="A99" s="24" t="inlineStr">
        <is>
          <t>G-098</t>
        </is>
      </c>
      <c r="B99" s="30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>
        <f>IF(D99="","",COUNTIFS(Matches!$D$2:$D$501,A99,Matches!$L$2:$L$501,"&lt;&gt;Withdrawn"))</f>
        <v/>
      </c>
      <c r="O99" s="24">
        <f>IF(D99="","",MAX(0,IFERROR(--K99,1)-N99))</f>
        <v/>
      </c>
      <c r="P99" s="24">
        <f>IF(D99="","",IFERROR(INDEX(Settings!$B$16:$B$23,MATCH(F99,Settings!$A$16:$A$23,0))&amp;"",""))</f>
        <v/>
      </c>
    </row>
    <row r="100">
      <c r="A100" s="24" t="inlineStr">
        <is>
          <t>G-099</t>
        </is>
      </c>
      <c r="B100" s="30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>
        <f>IF(D100="","",COUNTIFS(Matches!$D$2:$D$501,A100,Matches!$L$2:$L$501,"&lt;&gt;Withdrawn"))</f>
        <v/>
      </c>
      <c r="O100" s="24">
        <f>IF(D100="","",MAX(0,IFERROR(--K100,1)-N100))</f>
        <v/>
      </c>
      <c r="P100" s="24">
        <f>IF(D100="","",IFERROR(INDEX(Settings!$B$16:$B$23,MATCH(F100,Settings!$A$16:$A$23,0))&amp;"",""))</f>
        <v/>
      </c>
    </row>
    <row r="101">
      <c r="A101" s="24" t="inlineStr">
        <is>
          <t>G-100</t>
        </is>
      </c>
      <c r="B101" s="30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>
        <f>IF(D101="","",COUNTIFS(Matches!$D$2:$D$501,A101,Matches!$L$2:$L$501,"&lt;&gt;Withdrawn"))</f>
        <v/>
      </c>
      <c r="O101" s="24">
        <f>IF(D101="","",MAX(0,IFERROR(--K101,1)-N101))</f>
        <v/>
      </c>
      <c r="P101" s="24">
        <f>IF(D101="","",IFERROR(INDEX(Settings!$B$16:$B$23,MATCH(F101,Settings!$A$16:$A$23,0))&amp;"",""))</f>
        <v/>
      </c>
    </row>
    <row r="102">
      <c r="A102" s="24" t="inlineStr">
        <is>
          <t>G-101</t>
        </is>
      </c>
      <c r="B102" s="30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>
        <f>IF(D102="","",COUNTIFS(Matches!$D$2:$D$501,A102,Matches!$L$2:$L$501,"&lt;&gt;Withdrawn"))</f>
        <v/>
      </c>
      <c r="O102" s="24">
        <f>IF(D102="","",MAX(0,IFERROR(--K102,1)-N102))</f>
        <v/>
      </c>
      <c r="P102" s="24">
        <f>IF(D102="","",IFERROR(INDEX(Settings!$B$16:$B$23,MATCH(F102,Settings!$A$16:$A$23,0))&amp;"",""))</f>
        <v/>
      </c>
    </row>
    <row r="103">
      <c r="A103" s="24" t="inlineStr">
        <is>
          <t>G-102</t>
        </is>
      </c>
      <c r="B103" s="30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>
        <f>IF(D103="","",COUNTIFS(Matches!$D$2:$D$501,A103,Matches!$L$2:$L$501,"&lt;&gt;Withdrawn"))</f>
        <v/>
      </c>
      <c r="O103" s="24">
        <f>IF(D103="","",MAX(0,IFERROR(--K103,1)-N103))</f>
        <v/>
      </c>
      <c r="P103" s="24">
        <f>IF(D103="","",IFERROR(INDEX(Settings!$B$16:$B$23,MATCH(F103,Settings!$A$16:$A$23,0))&amp;"",""))</f>
        <v/>
      </c>
    </row>
    <row r="104">
      <c r="A104" s="24" t="inlineStr">
        <is>
          <t>G-103</t>
        </is>
      </c>
      <c r="B104" s="30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>
        <f>IF(D104="","",COUNTIFS(Matches!$D$2:$D$501,A104,Matches!$L$2:$L$501,"&lt;&gt;Withdrawn"))</f>
        <v/>
      </c>
      <c r="O104" s="24">
        <f>IF(D104="","",MAX(0,IFERROR(--K104,1)-N104))</f>
        <v/>
      </c>
      <c r="P104" s="24">
        <f>IF(D104="","",IFERROR(INDEX(Settings!$B$16:$B$23,MATCH(F104,Settings!$A$16:$A$23,0))&amp;"",""))</f>
        <v/>
      </c>
    </row>
    <row r="105">
      <c r="A105" s="24" t="inlineStr">
        <is>
          <t>G-104</t>
        </is>
      </c>
      <c r="B105" s="30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>
        <f>IF(D105="","",COUNTIFS(Matches!$D$2:$D$501,A105,Matches!$L$2:$L$501,"&lt;&gt;Withdrawn"))</f>
        <v/>
      </c>
      <c r="O105" s="24">
        <f>IF(D105="","",MAX(0,IFERROR(--K105,1)-N105))</f>
        <v/>
      </c>
      <c r="P105" s="24">
        <f>IF(D105="","",IFERROR(INDEX(Settings!$B$16:$B$23,MATCH(F105,Settings!$A$16:$A$23,0))&amp;"",""))</f>
        <v/>
      </c>
    </row>
    <row r="106">
      <c r="A106" s="24" t="inlineStr">
        <is>
          <t>G-105</t>
        </is>
      </c>
      <c r="B106" s="30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>
        <f>IF(D106="","",COUNTIFS(Matches!$D$2:$D$501,A106,Matches!$L$2:$L$501,"&lt;&gt;Withdrawn"))</f>
        <v/>
      </c>
      <c r="O106" s="24">
        <f>IF(D106="","",MAX(0,IFERROR(--K106,1)-N106))</f>
        <v/>
      </c>
      <c r="P106" s="24">
        <f>IF(D106="","",IFERROR(INDEX(Settings!$B$16:$B$23,MATCH(F106,Settings!$A$16:$A$23,0))&amp;"",""))</f>
        <v/>
      </c>
    </row>
    <row r="107">
      <c r="A107" s="24" t="inlineStr">
        <is>
          <t>G-106</t>
        </is>
      </c>
      <c r="B107" s="30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>
        <f>IF(D107="","",COUNTIFS(Matches!$D$2:$D$501,A107,Matches!$L$2:$L$501,"&lt;&gt;Withdrawn"))</f>
        <v/>
      </c>
      <c r="O107" s="24">
        <f>IF(D107="","",MAX(0,IFERROR(--K107,1)-N107))</f>
        <v/>
      </c>
      <c r="P107" s="24">
        <f>IF(D107="","",IFERROR(INDEX(Settings!$B$16:$B$23,MATCH(F107,Settings!$A$16:$A$23,0))&amp;"",""))</f>
        <v/>
      </c>
    </row>
    <row r="108">
      <c r="A108" s="24" t="inlineStr">
        <is>
          <t>G-107</t>
        </is>
      </c>
      <c r="B108" s="30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>
        <f>IF(D108="","",COUNTIFS(Matches!$D$2:$D$501,A108,Matches!$L$2:$L$501,"&lt;&gt;Withdrawn"))</f>
        <v/>
      </c>
      <c r="O108" s="24">
        <f>IF(D108="","",MAX(0,IFERROR(--K108,1)-N108))</f>
        <v/>
      </c>
      <c r="P108" s="24">
        <f>IF(D108="","",IFERROR(INDEX(Settings!$B$16:$B$23,MATCH(F108,Settings!$A$16:$A$23,0))&amp;"",""))</f>
        <v/>
      </c>
    </row>
    <row r="109">
      <c r="A109" s="24" t="inlineStr">
        <is>
          <t>G-108</t>
        </is>
      </c>
      <c r="B109" s="30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>
        <f>IF(D109="","",COUNTIFS(Matches!$D$2:$D$501,A109,Matches!$L$2:$L$501,"&lt;&gt;Withdrawn"))</f>
        <v/>
      </c>
      <c r="O109" s="24">
        <f>IF(D109="","",MAX(0,IFERROR(--K109,1)-N109))</f>
        <v/>
      </c>
      <c r="P109" s="24">
        <f>IF(D109="","",IFERROR(INDEX(Settings!$B$16:$B$23,MATCH(F109,Settings!$A$16:$A$23,0))&amp;"",""))</f>
        <v/>
      </c>
    </row>
    <row r="110">
      <c r="A110" s="24" t="inlineStr">
        <is>
          <t>G-109</t>
        </is>
      </c>
      <c r="B110" s="30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>
        <f>IF(D110="","",COUNTIFS(Matches!$D$2:$D$501,A110,Matches!$L$2:$L$501,"&lt;&gt;Withdrawn"))</f>
        <v/>
      </c>
      <c r="O110" s="24">
        <f>IF(D110="","",MAX(0,IFERROR(--K110,1)-N110))</f>
        <v/>
      </c>
      <c r="P110" s="24">
        <f>IF(D110="","",IFERROR(INDEX(Settings!$B$16:$B$23,MATCH(F110,Settings!$A$16:$A$23,0))&amp;"",""))</f>
        <v/>
      </c>
    </row>
    <row r="111">
      <c r="A111" s="24" t="inlineStr">
        <is>
          <t>G-110</t>
        </is>
      </c>
      <c r="B111" s="30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>
        <f>IF(D111="","",COUNTIFS(Matches!$D$2:$D$501,A111,Matches!$L$2:$L$501,"&lt;&gt;Withdrawn"))</f>
        <v/>
      </c>
      <c r="O111" s="24">
        <f>IF(D111="","",MAX(0,IFERROR(--K111,1)-N111))</f>
        <v/>
      </c>
      <c r="P111" s="24">
        <f>IF(D111="","",IFERROR(INDEX(Settings!$B$16:$B$23,MATCH(F111,Settings!$A$16:$A$23,0))&amp;"",""))</f>
        <v/>
      </c>
    </row>
    <row r="112">
      <c r="A112" s="24" t="inlineStr">
        <is>
          <t>G-111</t>
        </is>
      </c>
      <c r="B112" s="30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>
        <f>IF(D112="","",COUNTIFS(Matches!$D$2:$D$501,A112,Matches!$L$2:$L$501,"&lt;&gt;Withdrawn"))</f>
        <v/>
      </c>
      <c r="O112" s="24">
        <f>IF(D112="","",MAX(0,IFERROR(--K112,1)-N112))</f>
        <v/>
      </c>
      <c r="P112" s="24">
        <f>IF(D112="","",IFERROR(INDEX(Settings!$B$16:$B$23,MATCH(F112,Settings!$A$16:$A$23,0))&amp;"",""))</f>
        <v/>
      </c>
    </row>
    <row r="113">
      <c r="A113" s="24" t="inlineStr">
        <is>
          <t>G-112</t>
        </is>
      </c>
      <c r="B113" s="30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>
        <f>IF(D113="","",COUNTIFS(Matches!$D$2:$D$501,A113,Matches!$L$2:$L$501,"&lt;&gt;Withdrawn"))</f>
        <v/>
      </c>
      <c r="O113" s="24">
        <f>IF(D113="","",MAX(0,IFERROR(--K113,1)-N113))</f>
        <v/>
      </c>
      <c r="P113" s="24">
        <f>IF(D113="","",IFERROR(INDEX(Settings!$B$16:$B$23,MATCH(F113,Settings!$A$16:$A$23,0))&amp;"",""))</f>
        <v/>
      </c>
    </row>
    <row r="114">
      <c r="A114" s="24" t="inlineStr">
        <is>
          <t>G-113</t>
        </is>
      </c>
      <c r="B114" s="30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>
        <f>IF(D114="","",COUNTIFS(Matches!$D$2:$D$501,A114,Matches!$L$2:$L$501,"&lt;&gt;Withdrawn"))</f>
        <v/>
      </c>
      <c r="O114" s="24">
        <f>IF(D114="","",MAX(0,IFERROR(--K114,1)-N114))</f>
        <v/>
      </c>
      <c r="P114" s="24">
        <f>IF(D114="","",IFERROR(INDEX(Settings!$B$16:$B$23,MATCH(F114,Settings!$A$16:$A$23,0))&amp;"",""))</f>
        <v/>
      </c>
    </row>
    <row r="115">
      <c r="A115" s="24" t="inlineStr">
        <is>
          <t>G-114</t>
        </is>
      </c>
      <c r="B115" s="30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>
        <f>IF(D115="","",COUNTIFS(Matches!$D$2:$D$501,A115,Matches!$L$2:$L$501,"&lt;&gt;Withdrawn"))</f>
        <v/>
      </c>
      <c r="O115" s="24">
        <f>IF(D115="","",MAX(0,IFERROR(--K115,1)-N115))</f>
        <v/>
      </c>
      <c r="P115" s="24">
        <f>IF(D115="","",IFERROR(INDEX(Settings!$B$16:$B$23,MATCH(F115,Settings!$A$16:$A$23,0))&amp;"",""))</f>
        <v/>
      </c>
    </row>
    <row r="116">
      <c r="A116" s="24" t="inlineStr">
        <is>
          <t>G-115</t>
        </is>
      </c>
      <c r="B116" s="30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>
        <f>IF(D116="","",COUNTIFS(Matches!$D$2:$D$501,A116,Matches!$L$2:$L$501,"&lt;&gt;Withdrawn"))</f>
        <v/>
      </c>
      <c r="O116" s="24">
        <f>IF(D116="","",MAX(0,IFERROR(--K116,1)-N116))</f>
        <v/>
      </c>
      <c r="P116" s="24">
        <f>IF(D116="","",IFERROR(INDEX(Settings!$B$16:$B$23,MATCH(F116,Settings!$A$16:$A$23,0))&amp;"",""))</f>
        <v/>
      </c>
    </row>
    <row r="117">
      <c r="A117" s="24" t="inlineStr">
        <is>
          <t>G-116</t>
        </is>
      </c>
      <c r="B117" s="30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>
        <f>IF(D117="","",COUNTIFS(Matches!$D$2:$D$501,A117,Matches!$L$2:$L$501,"&lt;&gt;Withdrawn"))</f>
        <v/>
      </c>
      <c r="O117" s="24">
        <f>IF(D117="","",MAX(0,IFERROR(--K117,1)-N117))</f>
        <v/>
      </c>
      <c r="P117" s="24">
        <f>IF(D117="","",IFERROR(INDEX(Settings!$B$16:$B$23,MATCH(F117,Settings!$A$16:$A$23,0))&amp;"",""))</f>
        <v/>
      </c>
    </row>
    <row r="118">
      <c r="A118" s="24" t="inlineStr">
        <is>
          <t>G-117</t>
        </is>
      </c>
      <c r="B118" s="30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>
        <f>IF(D118="","",COUNTIFS(Matches!$D$2:$D$501,A118,Matches!$L$2:$L$501,"&lt;&gt;Withdrawn"))</f>
        <v/>
      </c>
      <c r="O118" s="24">
        <f>IF(D118="","",MAX(0,IFERROR(--K118,1)-N118))</f>
        <v/>
      </c>
      <c r="P118" s="24">
        <f>IF(D118="","",IFERROR(INDEX(Settings!$B$16:$B$23,MATCH(F118,Settings!$A$16:$A$23,0))&amp;"",""))</f>
        <v/>
      </c>
    </row>
    <row r="119">
      <c r="A119" s="24" t="inlineStr">
        <is>
          <t>G-118</t>
        </is>
      </c>
      <c r="B119" s="30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>
        <f>IF(D119="","",COUNTIFS(Matches!$D$2:$D$501,A119,Matches!$L$2:$L$501,"&lt;&gt;Withdrawn"))</f>
        <v/>
      </c>
      <c r="O119" s="24">
        <f>IF(D119="","",MAX(0,IFERROR(--K119,1)-N119))</f>
        <v/>
      </c>
      <c r="P119" s="24">
        <f>IF(D119="","",IFERROR(INDEX(Settings!$B$16:$B$23,MATCH(F119,Settings!$A$16:$A$23,0))&amp;"",""))</f>
        <v/>
      </c>
    </row>
    <row r="120">
      <c r="A120" s="24" t="inlineStr">
        <is>
          <t>G-119</t>
        </is>
      </c>
      <c r="B120" s="30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>
        <f>IF(D120="","",COUNTIFS(Matches!$D$2:$D$501,A120,Matches!$L$2:$L$501,"&lt;&gt;Withdrawn"))</f>
        <v/>
      </c>
      <c r="O120" s="24">
        <f>IF(D120="","",MAX(0,IFERROR(--K120,1)-N120))</f>
        <v/>
      </c>
      <c r="P120" s="24">
        <f>IF(D120="","",IFERROR(INDEX(Settings!$B$16:$B$23,MATCH(F120,Settings!$A$16:$A$23,0))&amp;"",""))</f>
        <v/>
      </c>
    </row>
    <row r="121">
      <c r="A121" s="24" t="inlineStr">
        <is>
          <t>G-120</t>
        </is>
      </c>
      <c r="B121" s="30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>
        <f>IF(D121="","",COUNTIFS(Matches!$D$2:$D$501,A121,Matches!$L$2:$L$501,"&lt;&gt;Withdrawn"))</f>
        <v/>
      </c>
      <c r="O121" s="24">
        <f>IF(D121="","",MAX(0,IFERROR(--K121,1)-N121))</f>
        <v/>
      </c>
      <c r="P121" s="24">
        <f>IF(D121="","",IFERROR(INDEX(Settings!$B$16:$B$23,MATCH(F121,Settings!$A$16:$A$23,0))&amp;"",""))</f>
        <v/>
      </c>
    </row>
    <row r="122">
      <c r="A122" s="24" t="inlineStr">
        <is>
          <t>G-121</t>
        </is>
      </c>
      <c r="B122" s="30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>
        <f>IF(D122="","",COUNTIFS(Matches!$D$2:$D$501,A122,Matches!$L$2:$L$501,"&lt;&gt;Withdrawn"))</f>
        <v/>
      </c>
      <c r="O122" s="24">
        <f>IF(D122="","",MAX(0,IFERROR(--K122,1)-N122))</f>
        <v/>
      </c>
      <c r="P122" s="24">
        <f>IF(D122="","",IFERROR(INDEX(Settings!$B$16:$B$23,MATCH(F122,Settings!$A$16:$A$23,0))&amp;"",""))</f>
        <v/>
      </c>
    </row>
    <row r="123">
      <c r="A123" s="24" t="inlineStr">
        <is>
          <t>G-122</t>
        </is>
      </c>
      <c r="B123" s="30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>
        <f>IF(D123="","",COUNTIFS(Matches!$D$2:$D$501,A123,Matches!$L$2:$L$501,"&lt;&gt;Withdrawn"))</f>
        <v/>
      </c>
      <c r="O123" s="24">
        <f>IF(D123="","",MAX(0,IFERROR(--K123,1)-N123))</f>
        <v/>
      </c>
      <c r="P123" s="24">
        <f>IF(D123="","",IFERROR(INDEX(Settings!$B$16:$B$23,MATCH(F123,Settings!$A$16:$A$23,0))&amp;"",""))</f>
        <v/>
      </c>
    </row>
    <row r="124">
      <c r="A124" s="24" t="inlineStr">
        <is>
          <t>G-123</t>
        </is>
      </c>
      <c r="B124" s="30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>
        <f>IF(D124="","",COUNTIFS(Matches!$D$2:$D$501,A124,Matches!$L$2:$L$501,"&lt;&gt;Withdrawn"))</f>
        <v/>
      </c>
      <c r="O124" s="24">
        <f>IF(D124="","",MAX(0,IFERROR(--K124,1)-N124))</f>
        <v/>
      </c>
      <c r="P124" s="24">
        <f>IF(D124="","",IFERROR(INDEX(Settings!$B$16:$B$23,MATCH(F124,Settings!$A$16:$A$23,0))&amp;"",""))</f>
        <v/>
      </c>
    </row>
    <row r="125">
      <c r="A125" s="24" t="inlineStr">
        <is>
          <t>G-124</t>
        </is>
      </c>
      <c r="B125" s="30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>
        <f>IF(D125="","",COUNTIFS(Matches!$D$2:$D$501,A125,Matches!$L$2:$L$501,"&lt;&gt;Withdrawn"))</f>
        <v/>
      </c>
      <c r="O125" s="24">
        <f>IF(D125="","",MAX(0,IFERROR(--K125,1)-N125))</f>
        <v/>
      </c>
      <c r="P125" s="24">
        <f>IF(D125="","",IFERROR(INDEX(Settings!$B$16:$B$23,MATCH(F125,Settings!$A$16:$A$23,0))&amp;"",""))</f>
        <v/>
      </c>
    </row>
    <row r="126">
      <c r="A126" s="24" t="inlineStr">
        <is>
          <t>G-125</t>
        </is>
      </c>
      <c r="B126" s="30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>
        <f>IF(D126="","",COUNTIFS(Matches!$D$2:$D$501,A126,Matches!$L$2:$L$501,"&lt;&gt;Withdrawn"))</f>
        <v/>
      </c>
      <c r="O126" s="24">
        <f>IF(D126="","",MAX(0,IFERROR(--K126,1)-N126))</f>
        <v/>
      </c>
      <c r="P126" s="24">
        <f>IF(D126="","",IFERROR(INDEX(Settings!$B$16:$B$23,MATCH(F126,Settings!$A$16:$A$23,0))&amp;"",""))</f>
        <v/>
      </c>
    </row>
    <row r="127">
      <c r="A127" s="24" t="inlineStr">
        <is>
          <t>G-126</t>
        </is>
      </c>
      <c r="B127" s="30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>
        <f>IF(D127="","",COUNTIFS(Matches!$D$2:$D$501,A127,Matches!$L$2:$L$501,"&lt;&gt;Withdrawn"))</f>
        <v/>
      </c>
      <c r="O127" s="24">
        <f>IF(D127="","",MAX(0,IFERROR(--K127,1)-N127))</f>
        <v/>
      </c>
      <c r="P127" s="24">
        <f>IF(D127="","",IFERROR(INDEX(Settings!$B$16:$B$23,MATCH(F127,Settings!$A$16:$A$23,0))&amp;"",""))</f>
        <v/>
      </c>
    </row>
    <row r="128">
      <c r="A128" s="24" t="inlineStr">
        <is>
          <t>G-127</t>
        </is>
      </c>
      <c r="B128" s="30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>
        <f>IF(D128="","",COUNTIFS(Matches!$D$2:$D$501,A128,Matches!$L$2:$L$501,"&lt;&gt;Withdrawn"))</f>
        <v/>
      </c>
      <c r="O128" s="24">
        <f>IF(D128="","",MAX(0,IFERROR(--K128,1)-N128))</f>
        <v/>
      </c>
      <c r="P128" s="24">
        <f>IF(D128="","",IFERROR(INDEX(Settings!$B$16:$B$23,MATCH(F128,Settings!$A$16:$A$23,0))&amp;"",""))</f>
        <v/>
      </c>
    </row>
    <row r="129">
      <c r="A129" s="24" t="inlineStr">
        <is>
          <t>G-128</t>
        </is>
      </c>
      <c r="B129" s="30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>
        <f>IF(D129="","",COUNTIFS(Matches!$D$2:$D$501,A129,Matches!$L$2:$L$501,"&lt;&gt;Withdrawn"))</f>
        <v/>
      </c>
      <c r="O129" s="24">
        <f>IF(D129="","",MAX(0,IFERROR(--K129,1)-N129))</f>
        <v/>
      </c>
      <c r="P129" s="24">
        <f>IF(D129="","",IFERROR(INDEX(Settings!$B$16:$B$23,MATCH(F129,Settings!$A$16:$A$23,0))&amp;"",""))</f>
        <v/>
      </c>
    </row>
    <row r="130">
      <c r="A130" s="24" t="inlineStr">
        <is>
          <t>G-129</t>
        </is>
      </c>
      <c r="B130" s="30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>
        <f>IF(D130="","",COUNTIFS(Matches!$D$2:$D$501,A130,Matches!$L$2:$L$501,"&lt;&gt;Withdrawn"))</f>
        <v/>
      </c>
      <c r="O130" s="24">
        <f>IF(D130="","",MAX(0,IFERROR(--K130,1)-N130))</f>
        <v/>
      </c>
      <c r="P130" s="24">
        <f>IF(D130="","",IFERROR(INDEX(Settings!$B$16:$B$23,MATCH(F130,Settings!$A$16:$A$23,0))&amp;"",""))</f>
        <v/>
      </c>
    </row>
    <row r="131">
      <c r="A131" s="24" t="inlineStr">
        <is>
          <t>G-130</t>
        </is>
      </c>
      <c r="B131" s="30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>
        <f>IF(D131="","",COUNTIFS(Matches!$D$2:$D$501,A131,Matches!$L$2:$L$501,"&lt;&gt;Withdrawn"))</f>
        <v/>
      </c>
      <c r="O131" s="24">
        <f>IF(D131="","",MAX(0,IFERROR(--K131,1)-N131))</f>
        <v/>
      </c>
      <c r="P131" s="24">
        <f>IF(D131="","",IFERROR(INDEX(Settings!$B$16:$B$23,MATCH(F131,Settings!$A$16:$A$23,0))&amp;"",""))</f>
        <v/>
      </c>
    </row>
    <row r="132">
      <c r="A132" s="24" t="inlineStr">
        <is>
          <t>G-131</t>
        </is>
      </c>
      <c r="B132" s="30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>
        <f>IF(D132="","",COUNTIFS(Matches!$D$2:$D$501,A132,Matches!$L$2:$L$501,"&lt;&gt;Withdrawn"))</f>
        <v/>
      </c>
      <c r="O132" s="24">
        <f>IF(D132="","",MAX(0,IFERROR(--K132,1)-N132))</f>
        <v/>
      </c>
      <c r="P132" s="24">
        <f>IF(D132="","",IFERROR(INDEX(Settings!$B$16:$B$23,MATCH(F132,Settings!$A$16:$A$23,0))&amp;"",""))</f>
        <v/>
      </c>
    </row>
    <row r="133">
      <c r="A133" s="24" t="inlineStr">
        <is>
          <t>G-132</t>
        </is>
      </c>
      <c r="B133" s="30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>
        <f>IF(D133="","",COUNTIFS(Matches!$D$2:$D$501,A133,Matches!$L$2:$L$501,"&lt;&gt;Withdrawn"))</f>
        <v/>
      </c>
      <c r="O133" s="24">
        <f>IF(D133="","",MAX(0,IFERROR(--K133,1)-N133))</f>
        <v/>
      </c>
      <c r="P133" s="24">
        <f>IF(D133="","",IFERROR(INDEX(Settings!$B$16:$B$23,MATCH(F133,Settings!$A$16:$A$23,0))&amp;"",""))</f>
        <v/>
      </c>
    </row>
    <row r="134">
      <c r="A134" s="24" t="inlineStr">
        <is>
          <t>G-133</t>
        </is>
      </c>
      <c r="B134" s="30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>
        <f>IF(D134="","",COUNTIFS(Matches!$D$2:$D$501,A134,Matches!$L$2:$L$501,"&lt;&gt;Withdrawn"))</f>
        <v/>
      </c>
      <c r="O134" s="24">
        <f>IF(D134="","",MAX(0,IFERROR(--K134,1)-N134))</f>
        <v/>
      </c>
      <c r="P134" s="24">
        <f>IF(D134="","",IFERROR(INDEX(Settings!$B$16:$B$23,MATCH(F134,Settings!$A$16:$A$23,0))&amp;"",""))</f>
        <v/>
      </c>
    </row>
    <row r="135">
      <c r="A135" s="24" t="inlineStr">
        <is>
          <t>G-134</t>
        </is>
      </c>
      <c r="B135" s="30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>
        <f>IF(D135="","",COUNTIFS(Matches!$D$2:$D$501,A135,Matches!$L$2:$L$501,"&lt;&gt;Withdrawn"))</f>
        <v/>
      </c>
      <c r="O135" s="24">
        <f>IF(D135="","",MAX(0,IFERROR(--K135,1)-N135))</f>
        <v/>
      </c>
      <c r="P135" s="24">
        <f>IF(D135="","",IFERROR(INDEX(Settings!$B$16:$B$23,MATCH(F135,Settings!$A$16:$A$23,0))&amp;"",""))</f>
        <v/>
      </c>
    </row>
    <row r="136">
      <c r="A136" s="24" t="inlineStr">
        <is>
          <t>G-135</t>
        </is>
      </c>
      <c r="B136" s="30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>
        <f>IF(D136="","",COUNTIFS(Matches!$D$2:$D$501,A136,Matches!$L$2:$L$501,"&lt;&gt;Withdrawn"))</f>
        <v/>
      </c>
      <c r="O136" s="24">
        <f>IF(D136="","",MAX(0,IFERROR(--K136,1)-N136))</f>
        <v/>
      </c>
      <c r="P136" s="24">
        <f>IF(D136="","",IFERROR(INDEX(Settings!$B$16:$B$23,MATCH(F136,Settings!$A$16:$A$23,0))&amp;"",""))</f>
        <v/>
      </c>
    </row>
    <row r="137">
      <c r="A137" s="24" t="inlineStr">
        <is>
          <t>G-136</t>
        </is>
      </c>
      <c r="B137" s="30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>
        <f>IF(D137="","",COUNTIFS(Matches!$D$2:$D$501,A137,Matches!$L$2:$L$501,"&lt;&gt;Withdrawn"))</f>
        <v/>
      </c>
      <c r="O137" s="24">
        <f>IF(D137="","",MAX(0,IFERROR(--K137,1)-N137))</f>
        <v/>
      </c>
      <c r="P137" s="24">
        <f>IF(D137="","",IFERROR(INDEX(Settings!$B$16:$B$23,MATCH(F137,Settings!$A$16:$A$23,0))&amp;"",""))</f>
        <v/>
      </c>
    </row>
    <row r="138">
      <c r="A138" s="24" t="inlineStr">
        <is>
          <t>G-137</t>
        </is>
      </c>
      <c r="B138" s="30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>
        <f>IF(D138="","",COUNTIFS(Matches!$D$2:$D$501,A138,Matches!$L$2:$L$501,"&lt;&gt;Withdrawn"))</f>
        <v/>
      </c>
      <c r="O138" s="24">
        <f>IF(D138="","",MAX(0,IFERROR(--K138,1)-N138))</f>
        <v/>
      </c>
      <c r="P138" s="24">
        <f>IF(D138="","",IFERROR(INDEX(Settings!$B$16:$B$23,MATCH(F138,Settings!$A$16:$A$23,0))&amp;"",""))</f>
        <v/>
      </c>
    </row>
    <row r="139">
      <c r="A139" s="24" t="inlineStr">
        <is>
          <t>G-138</t>
        </is>
      </c>
      <c r="B139" s="30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>
        <f>IF(D139="","",COUNTIFS(Matches!$D$2:$D$501,A139,Matches!$L$2:$L$501,"&lt;&gt;Withdrawn"))</f>
        <v/>
      </c>
      <c r="O139" s="24">
        <f>IF(D139="","",MAX(0,IFERROR(--K139,1)-N139))</f>
        <v/>
      </c>
      <c r="P139" s="24">
        <f>IF(D139="","",IFERROR(INDEX(Settings!$B$16:$B$23,MATCH(F139,Settings!$A$16:$A$23,0))&amp;"",""))</f>
        <v/>
      </c>
    </row>
    <row r="140">
      <c r="A140" s="24" t="inlineStr">
        <is>
          <t>G-139</t>
        </is>
      </c>
      <c r="B140" s="30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>
        <f>IF(D140="","",COUNTIFS(Matches!$D$2:$D$501,A140,Matches!$L$2:$L$501,"&lt;&gt;Withdrawn"))</f>
        <v/>
      </c>
      <c r="O140" s="24">
        <f>IF(D140="","",MAX(0,IFERROR(--K140,1)-N140))</f>
        <v/>
      </c>
      <c r="P140" s="24">
        <f>IF(D140="","",IFERROR(INDEX(Settings!$B$16:$B$23,MATCH(F140,Settings!$A$16:$A$23,0))&amp;"",""))</f>
        <v/>
      </c>
    </row>
    <row r="141">
      <c r="A141" s="24" t="inlineStr">
        <is>
          <t>G-140</t>
        </is>
      </c>
      <c r="B141" s="30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>
        <f>IF(D141="","",COUNTIFS(Matches!$D$2:$D$501,A141,Matches!$L$2:$L$501,"&lt;&gt;Withdrawn"))</f>
        <v/>
      </c>
      <c r="O141" s="24">
        <f>IF(D141="","",MAX(0,IFERROR(--K141,1)-N141))</f>
        <v/>
      </c>
      <c r="P141" s="24">
        <f>IF(D141="","",IFERROR(INDEX(Settings!$B$16:$B$23,MATCH(F141,Settings!$A$16:$A$23,0))&amp;"",""))</f>
        <v/>
      </c>
    </row>
    <row r="142">
      <c r="A142" s="24" t="inlineStr">
        <is>
          <t>G-141</t>
        </is>
      </c>
      <c r="B142" s="30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>
        <f>IF(D142="","",COUNTIFS(Matches!$D$2:$D$501,A142,Matches!$L$2:$L$501,"&lt;&gt;Withdrawn"))</f>
        <v/>
      </c>
      <c r="O142" s="24">
        <f>IF(D142="","",MAX(0,IFERROR(--K142,1)-N142))</f>
        <v/>
      </c>
      <c r="P142" s="24">
        <f>IF(D142="","",IFERROR(INDEX(Settings!$B$16:$B$23,MATCH(F142,Settings!$A$16:$A$23,0))&amp;"",""))</f>
        <v/>
      </c>
    </row>
    <row r="143">
      <c r="A143" s="24" t="inlineStr">
        <is>
          <t>G-142</t>
        </is>
      </c>
      <c r="B143" s="30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>
        <f>IF(D143="","",COUNTIFS(Matches!$D$2:$D$501,A143,Matches!$L$2:$L$501,"&lt;&gt;Withdrawn"))</f>
        <v/>
      </c>
      <c r="O143" s="24">
        <f>IF(D143="","",MAX(0,IFERROR(--K143,1)-N143))</f>
        <v/>
      </c>
      <c r="P143" s="24">
        <f>IF(D143="","",IFERROR(INDEX(Settings!$B$16:$B$23,MATCH(F143,Settings!$A$16:$A$23,0))&amp;"",""))</f>
        <v/>
      </c>
    </row>
    <row r="144">
      <c r="A144" s="24" t="inlineStr">
        <is>
          <t>G-143</t>
        </is>
      </c>
      <c r="B144" s="30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>
        <f>IF(D144="","",COUNTIFS(Matches!$D$2:$D$501,A144,Matches!$L$2:$L$501,"&lt;&gt;Withdrawn"))</f>
        <v/>
      </c>
      <c r="O144" s="24">
        <f>IF(D144="","",MAX(0,IFERROR(--K144,1)-N144))</f>
        <v/>
      </c>
      <c r="P144" s="24">
        <f>IF(D144="","",IFERROR(INDEX(Settings!$B$16:$B$23,MATCH(F144,Settings!$A$16:$A$23,0))&amp;"",""))</f>
        <v/>
      </c>
    </row>
    <row r="145">
      <c r="A145" s="24" t="inlineStr">
        <is>
          <t>G-144</t>
        </is>
      </c>
      <c r="B145" s="30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>
        <f>IF(D145="","",COUNTIFS(Matches!$D$2:$D$501,A145,Matches!$L$2:$L$501,"&lt;&gt;Withdrawn"))</f>
        <v/>
      </c>
      <c r="O145" s="24">
        <f>IF(D145="","",MAX(0,IFERROR(--K145,1)-N145))</f>
        <v/>
      </c>
      <c r="P145" s="24">
        <f>IF(D145="","",IFERROR(INDEX(Settings!$B$16:$B$23,MATCH(F145,Settings!$A$16:$A$23,0))&amp;"",""))</f>
        <v/>
      </c>
    </row>
    <row r="146">
      <c r="A146" s="24" t="inlineStr">
        <is>
          <t>G-145</t>
        </is>
      </c>
      <c r="B146" s="30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>
        <f>IF(D146="","",COUNTIFS(Matches!$D$2:$D$501,A146,Matches!$L$2:$L$501,"&lt;&gt;Withdrawn"))</f>
        <v/>
      </c>
      <c r="O146" s="24">
        <f>IF(D146="","",MAX(0,IFERROR(--K146,1)-N146))</f>
        <v/>
      </c>
      <c r="P146" s="24">
        <f>IF(D146="","",IFERROR(INDEX(Settings!$B$16:$B$23,MATCH(F146,Settings!$A$16:$A$23,0))&amp;"",""))</f>
        <v/>
      </c>
    </row>
    <row r="147">
      <c r="A147" s="24" t="inlineStr">
        <is>
          <t>G-146</t>
        </is>
      </c>
      <c r="B147" s="30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>
        <f>IF(D147="","",COUNTIFS(Matches!$D$2:$D$501,A147,Matches!$L$2:$L$501,"&lt;&gt;Withdrawn"))</f>
        <v/>
      </c>
      <c r="O147" s="24">
        <f>IF(D147="","",MAX(0,IFERROR(--K147,1)-N147))</f>
        <v/>
      </c>
      <c r="P147" s="24">
        <f>IF(D147="","",IFERROR(INDEX(Settings!$B$16:$B$23,MATCH(F147,Settings!$A$16:$A$23,0))&amp;"",""))</f>
        <v/>
      </c>
    </row>
    <row r="148">
      <c r="A148" s="24" t="inlineStr">
        <is>
          <t>G-147</t>
        </is>
      </c>
      <c r="B148" s="30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>
        <f>IF(D148="","",COUNTIFS(Matches!$D$2:$D$501,A148,Matches!$L$2:$L$501,"&lt;&gt;Withdrawn"))</f>
        <v/>
      </c>
      <c r="O148" s="24">
        <f>IF(D148="","",MAX(0,IFERROR(--K148,1)-N148))</f>
        <v/>
      </c>
      <c r="P148" s="24">
        <f>IF(D148="","",IFERROR(INDEX(Settings!$B$16:$B$23,MATCH(F148,Settings!$A$16:$A$23,0))&amp;"",""))</f>
        <v/>
      </c>
    </row>
    <row r="149">
      <c r="A149" s="24" t="inlineStr">
        <is>
          <t>G-148</t>
        </is>
      </c>
      <c r="B149" s="30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>
        <f>IF(D149="","",COUNTIFS(Matches!$D$2:$D$501,A149,Matches!$L$2:$L$501,"&lt;&gt;Withdrawn"))</f>
        <v/>
      </c>
      <c r="O149" s="24">
        <f>IF(D149="","",MAX(0,IFERROR(--K149,1)-N149))</f>
        <v/>
      </c>
      <c r="P149" s="24">
        <f>IF(D149="","",IFERROR(INDEX(Settings!$B$16:$B$23,MATCH(F149,Settings!$A$16:$A$23,0))&amp;"",""))</f>
        <v/>
      </c>
    </row>
    <row r="150">
      <c r="A150" s="24" t="inlineStr">
        <is>
          <t>G-149</t>
        </is>
      </c>
      <c r="B150" s="30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>
        <f>IF(D150="","",COUNTIFS(Matches!$D$2:$D$501,A150,Matches!$L$2:$L$501,"&lt;&gt;Withdrawn"))</f>
        <v/>
      </c>
      <c r="O150" s="24">
        <f>IF(D150="","",MAX(0,IFERROR(--K150,1)-N150))</f>
        <v/>
      </c>
      <c r="P150" s="24">
        <f>IF(D150="","",IFERROR(INDEX(Settings!$B$16:$B$23,MATCH(F150,Settings!$A$16:$A$23,0))&amp;"",""))</f>
        <v/>
      </c>
    </row>
    <row r="151">
      <c r="A151" s="24" t="inlineStr">
        <is>
          <t>G-150</t>
        </is>
      </c>
      <c r="B151" s="30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>
        <f>IF(D151="","",COUNTIFS(Matches!$D$2:$D$501,A151,Matches!$L$2:$L$501,"&lt;&gt;Withdrawn"))</f>
        <v/>
      </c>
      <c r="O151" s="24">
        <f>IF(D151="","",MAX(0,IFERROR(--K151,1)-N151))</f>
        <v/>
      </c>
      <c r="P151" s="24">
        <f>IF(D151="","",IFERROR(INDEX(Settings!$B$16:$B$23,MATCH(F151,Settings!$A$16:$A$23,0))&amp;"",""))</f>
        <v/>
      </c>
    </row>
  </sheetData>
  <conditionalFormatting sqref="O2:O151">
    <cfRule type="cellIs" priority="1" operator="equal" dxfId="1">
      <formula>0</formula>
    </cfRule>
  </conditionalFormatting>
  <dataValidations count="4">
    <dataValidation sqref="E2:E151" showDropDown="0" showInputMessage="0" showErrorMessage="1" allowBlank="1" errorTitle="Invalid entry" error="Pick a value from the list." type="list">
      <formula1>Settings!$F$4:$F$6</formula1>
    </dataValidation>
    <dataValidation sqref="F2:F151" showDropDown="0" showInputMessage="0" showErrorMessage="1" allowBlank="1" errorTitle="Invalid entry" error="Pick a value from the list." type="list">
      <formula1>Settings!$A$16:$A$23</formula1>
    </dataValidation>
    <dataValidation sqref="J2:J151" showDropDown="0" showInputMessage="0" showErrorMessage="1" allowBlank="1" errorTitle="Invalid entry" error="Pick a value from the list." type="list">
      <formula1>Settings!$I$4:$I$6</formula1>
    </dataValidation>
    <dataValidation sqref="K2:K151" showDropDown="0" showInputMessage="0" showErrorMessage="1" allowBlank="1" errorTitle="Invalid entry" error="Pick a value from the list." type="list">
      <formula1>Settings!$K$4:$K$6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1" customWidth="1" min="4" max="4"/>
    <col width="22" customWidth="1" min="5" max="5"/>
    <col width="20" customWidth="1" min="6" max="6"/>
    <col width="20" customWidth="1" min="7" max="7"/>
    <col width="13" customWidth="1" min="8" max="8"/>
    <col width="13" customWidth="1" min="9" max="9"/>
    <col width="13" customWidth="1" min="10" max="10"/>
    <col width="10" customWidth="1" min="11" max="11"/>
    <col width="13" customWidth="1" min="12" max="12"/>
    <col width="11" customWidth="1" min="13" max="13"/>
    <col width="11" customWidth="1" min="14" max="14"/>
    <col width="36" customWidth="1" min="15" max="15"/>
  </cols>
  <sheetData>
    <row r="1" ht="32" customHeight="1">
      <c r="A1" s="13" t="inlineStr">
        <is>
          <t>Match ID</t>
        </is>
      </c>
      <c r="B1" s="27" t="inlineStr">
        <is>
          <t>Mentee ID</t>
        </is>
      </c>
      <c r="C1" s="13" t="inlineStr">
        <is>
          <t>Mentee</t>
        </is>
      </c>
      <c r="D1" s="27" t="inlineStr">
        <is>
          <t>Mentor ID</t>
        </is>
      </c>
      <c r="E1" s="13" t="inlineStr">
        <is>
          <t>Mentor</t>
        </is>
      </c>
      <c r="F1" s="13" t="inlineStr">
        <is>
          <t>Department</t>
        </is>
      </c>
      <c r="G1" s="13" t="inlineStr">
        <is>
          <t>Mentor Lead</t>
        </is>
      </c>
      <c r="H1" s="27" t="inlineStr">
        <is>
          <t>Date introduced</t>
        </is>
      </c>
      <c r="I1" s="27" t="inlineStr">
        <is>
          <t>Meeting 1 date</t>
        </is>
      </c>
      <c r="J1" s="27" t="inlineStr">
        <is>
          <t>Meeting 2 date</t>
        </is>
      </c>
      <c r="K1" s="13" t="inlineStr">
        <is>
          <t>Meetings done</t>
        </is>
      </c>
      <c r="L1" s="27" t="inlineStr">
        <is>
          <t>Status</t>
        </is>
      </c>
      <c r="M1" s="27" t="inlineStr">
        <is>
          <t>Mentee rating (1–5)</t>
        </is>
      </c>
      <c r="N1" s="27" t="inlineStr">
        <is>
          <t>Mentor rating (1–5)</t>
        </is>
      </c>
      <c r="O1" s="27" t="inlineStr">
        <is>
          <t>Notes</t>
        </is>
      </c>
    </row>
    <row r="2">
      <c r="A2" s="24" t="inlineStr">
        <is>
          <t>M-001</t>
        </is>
      </c>
      <c r="B2" s="29" t="inlineStr">
        <is>
          <t>U-001</t>
        </is>
      </c>
      <c r="C2" s="24">
        <f>IF(B2="","",IFERROR(INDEX(Mentees!$D$2:$D$301,MATCH(B2,Mentees!$A$2:$A$301,0)),"ID not found"))</f>
        <v/>
      </c>
      <c r="D2" s="29" t="inlineStr">
        <is>
          <t>G-001</t>
        </is>
      </c>
      <c r="E2" s="24">
        <f>IF(D2="","",IFERROR(INDEX(Mentors!$D$2:$D$151,MATCH(D2,Mentors!$A$2:$A$151,0)),"ID not found"))</f>
        <v/>
      </c>
      <c r="F2" s="24">
        <f>IF(D2="","",IFERROR(INDEX(Mentors!$F$2:$F$151,MATCH(D2,Mentors!$A$2:$A$151,0))&amp;"",""))</f>
        <v/>
      </c>
      <c r="G2" s="24">
        <f>IF(D2="","",IFERROR(INDEX(Mentors!$P$2:$P$151,MATCH(D2,Mentors!$A$2:$A$151,0))&amp;"",""))</f>
        <v/>
      </c>
      <c r="H2" s="31" t="n">
        <v>46330</v>
      </c>
      <c r="I2" s="31" t="n">
        <v>46337</v>
      </c>
      <c r="J2" s="32" t="n"/>
      <c r="K2" s="24">
        <f>IF(B2="","",COUNT(I2:J2))</f>
        <v/>
      </c>
      <c r="L2" s="29" t="inlineStr">
        <is>
          <t>Active</t>
        </is>
      </c>
      <c r="M2" s="24" t="n"/>
      <c r="N2" s="24" t="n"/>
      <c r="O2" s="29" t="inlineStr">
        <is>
          <t>SAMPLE: introduced by email; first meeting on Zoom</t>
        </is>
      </c>
    </row>
    <row r="3">
      <c r="A3" s="24" t="inlineStr">
        <is>
          <t>M-002</t>
        </is>
      </c>
      <c r="B3" s="24" t="n"/>
      <c r="C3" s="24">
        <f>IF(B3="","",IFERROR(INDEX(Mentees!$D$2:$D$301,MATCH(B3,Mentees!$A$2:$A$301,0)),"ID not found"))</f>
        <v/>
      </c>
      <c r="D3" s="24" t="n"/>
      <c r="E3" s="24">
        <f>IF(D3="","",IFERROR(INDEX(Mentors!$D$2:$D$151,MATCH(D3,Mentors!$A$2:$A$151,0)),"ID not found"))</f>
        <v/>
      </c>
      <c r="F3" s="24">
        <f>IF(D3="","",IFERROR(INDEX(Mentors!$F$2:$F$151,MATCH(D3,Mentors!$A$2:$A$151,0))&amp;"",""))</f>
        <v/>
      </c>
      <c r="G3" s="24">
        <f>IF(D3="","",IFERROR(INDEX(Mentors!$P$2:$P$151,MATCH(D3,Mentors!$A$2:$A$151,0))&amp;"",""))</f>
        <v/>
      </c>
      <c r="H3" s="32" t="n"/>
      <c r="I3" s="32" t="n"/>
      <c r="J3" s="32" t="n"/>
      <c r="K3" s="24">
        <f>IF(B3="","",COUNT(I3:J3))</f>
        <v/>
      </c>
      <c r="L3" s="24" t="n"/>
      <c r="M3" s="24" t="n"/>
      <c r="N3" s="24" t="n"/>
      <c r="O3" s="24" t="n"/>
    </row>
    <row r="4">
      <c r="A4" s="24" t="inlineStr">
        <is>
          <t>M-003</t>
        </is>
      </c>
      <c r="B4" s="24" t="n"/>
      <c r="C4" s="24">
        <f>IF(B4="","",IFERROR(INDEX(Mentees!$D$2:$D$301,MATCH(B4,Mentees!$A$2:$A$301,0)),"ID not found"))</f>
        <v/>
      </c>
      <c r="D4" s="24" t="n"/>
      <c r="E4" s="24">
        <f>IF(D4="","",IFERROR(INDEX(Mentors!$D$2:$D$151,MATCH(D4,Mentors!$A$2:$A$151,0)),"ID not found"))</f>
        <v/>
      </c>
      <c r="F4" s="24">
        <f>IF(D4="","",IFERROR(INDEX(Mentors!$F$2:$F$151,MATCH(D4,Mentors!$A$2:$A$151,0))&amp;"",""))</f>
        <v/>
      </c>
      <c r="G4" s="24">
        <f>IF(D4="","",IFERROR(INDEX(Mentors!$P$2:$P$151,MATCH(D4,Mentors!$A$2:$A$151,0))&amp;"",""))</f>
        <v/>
      </c>
      <c r="H4" s="32" t="n"/>
      <c r="I4" s="32" t="n"/>
      <c r="J4" s="32" t="n"/>
      <c r="K4" s="24">
        <f>IF(B4="","",COUNT(I4:J4))</f>
        <v/>
      </c>
      <c r="L4" s="24" t="n"/>
      <c r="M4" s="24" t="n"/>
      <c r="N4" s="24" t="n"/>
      <c r="O4" s="24" t="n"/>
    </row>
    <row r="5">
      <c r="A5" s="24" t="inlineStr">
        <is>
          <t>M-004</t>
        </is>
      </c>
      <c r="B5" s="24" t="n"/>
      <c r="C5" s="24">
        <f>IF(B5="","",IFERROR(INDEX(Mentees!$D$2:$D$301,MATCH(B5,Mentees!$A$2:$A$301,0)),"ID not found"))</f>
        <v/>
      </c>
      <c r="D5" s="24" t="n"/>
      <c r="E5" s="24">
        <f>IF(D5="","",IFERROR(INDEX(Mentors!$D$2:$D$151,MATCH(D5,Mentors!$A$2:$A$151,0)),"ID not found"))</f>
        <v/>
      </c>
      <c r="F5" s="24">
        <f>IF(D5="","",IFERROR(INDEX(Mentors!$F$2:$F$151,MATCH(D5,Mentors!$A$2:$A$151,0))&amp;"",""))</f>
        <v/>
      </c>
      <c r="G5" s="24">
        <f>IF(D5="","",IFERROR(INDEX(Mentors!$P$2:$P$151,MATCH(D5,Mentors!$A$2:$A$151,0))&amp;"",""))</f>
        <v/>
      </c>
      <c r="H5" s="32" t="n"/>
      <c r="I5" s="32" t="n"/>
      <c r="J5" s="32" t="n"/>
      <c r="K5" s="24">
        <f>IF(B5="","",COUNT(I5:J5))</f>
        <v/>
      </c>
      <c r="L5" s="24" t="n"/>
      <c r="M5" s="24" t="n"/>
      <c r="N5" s="24" t="n"/>
      <c r="O5" s="24" t="n"/>
    </row>
    <row r="6">
      <c r="A6" s="24" t="inlineStr">
        <is>
          <t>M-005</t>
        </is>
      </c>
      <c r="B6" s="24" t="n"/>
      <c r="C6" s="24">
        <f>IF(B6="","",IFERROR(INDEX(Mentees!$D$2:$D$301,MATCH(B6,Mentees!$A$2:$A$301,0)),"ID not found"))</f>
        <v/>
      </c>
      <c r="D6" s="24" t="n"/>
      <c r="E6" s="24">
        <f>IF(D6="","",IFERROR(INDEX(Mentors!$D$2:$D$151,MATCH(D6,Mentors!$A$2:$A$151,0)),"ID not found"))</f>
        <v/>
      </c>
      <c r="F6" s="24">
        <f>IF(D6="","",IFERROR(INDEX(Mentors!$F$2:$F$151,MATCH(D6,Mentors!$A$2:$A$151,0))&amp;"",""))</f>
        <v/>
      </c>
      <c r="G6" s="24">
        <f>IF(D6="","",IFERROR(INDEX(Mentors!$P$2:$P$151,MATCH(D6,Mentors!$A$2:$A$151,0))&amp;"",""))</f>
        <v/>
      </c>
      <c r="H6" s="32" t="n"/>
      <c r="I6" s="32" t="n"/>
      <c r="J6" s="32" t="n"/>
      <c r="K6" s="24">
        <f>IF(B6="","",COUNT(I6:J6))</f>
        <v/>
      </c>
      <c r="L6" s="24" t="n"/>
      <c r="M6" s="24" t="n"/>
      <c r="N6" s="24" t="n"/>
      <c r="O6" s="24" t="n"/>
    </row>
    <row r="7">
      <c r="A7" s="24" t="inlineStr">
        <is>
          <t>M-006</t>
        </is>
      </c>
      <c r="B7" s="24" t="n"/>
      <c r="C7" s="24">
        <f>IF(B7="","",IFERROR(INDEX(Mentees!$D$2:$D$301,MATCH(B7,Mentees!$A$2:$A$301,0)),"ID not found"))</f>
        <v/>
      </c>
      <c r="D7" s="24" t="n"/>
      <c r="E7" s="24">
        <f>IF(D7="","",IFERROR(INDEX(Mentors!$D$2:$D$151,MATCH(D7,Mentors!$A$2:$A$151,0)),"ID not found"))</f>
        <v/>
      </c>
      <c r="F7" s="24">
        <f>IF(D7="","",IFERROR(INDEX(Mentors!$F$2:$F$151,MATCH(D7,Mentors!$A$2:$A$151,0))&amp;"",""))</f>
        <v/>
      </c>
      <c r="G7" s="24">
        <f>IF(D7="","",IFERROR(INDEX(Mentors!$P$2:$P$151,MATCH(D7,Mentors!$A$2:$A$151,0))&amp;"",""))</f>
        <v/>
      </c>
      <c r="H7" s="32" t="n"/>
      <c r="I7" s="32" t="n"/>
      <c r="J7" s="32" t="n"/>
      <c r="K7" s="24">
        <f>IF(B7="","",COUNT(I7:J7))</f>
        <v/>
      </c>
      <c r="L7" s="24" t="n"/>
      <c r="M7" s="24" t="n"/>
      <c r="N7" s="24" t="n"/>
      <c r="O7" s="24" t="n"/>
    </row>
    <row r="8">
      <c r="A8" s="24" t="inlineStr">
        <is>
          <t>M-007</t>
        </is>
      </c>
      <c r="B8" s="24" t="n"/>
      <c r="C8" s="24">
        <f>IF(B8="","",IFERROR(INDEX(Mentees!$D$2:$D$301,MATCH(B8,Mentees!$A$2:$A$301,0)),"ID not found"))</f>
        <v/>
      </c>
      <c r="D8" s="24" t="n"/>
      <c r="E8" s="24">
        <f>IF(D8="","",IFERROR(INDEX(Mentors!$D$2:$D$151,MATCH(D8,Mentors!$A$2:$A$151,0)),"ID not found"))</f>
        <v/>
      </c>
      <c r="F8" s="24">
        <f>IF(D8="","",IFERROR(INDEX(Mentors!$F$2:$F$151,MATCH(D8,Mentors!$A$2:$A$151,0))&amp;"",""))</f>
        <v/>
      </c>
      <c r="G8" s="24">
        <f>IF(D8="","",IFERROR(INDEX(Mentors!$P$2:$P$151,MATCH(D8,Mentors!$A$2:$A$151,0))&amp;"",""))</f>
        <v/>
      </c>
      <c r="H8" s="32" t="n"/>
      <c r="I8" s="32" t="n"/>
      <c r="J8" s="32" t="n"/>
      <c r="K8" s="24">
        <f>IF(B8="","",COUNT(I8:J8))</f>
        <v/>
      </c>
      <c r="L8" s="24" t="n"/>
      <c r="M8" s="24" t="n"/>
      <c r="N8" s="24" t="n"/>
      <c r="O8" s="24" t="n"/>
    </row>
    <row r="9">
      <c r="A9" s="24" t="inlineStr">
        <is>
          <t>M-008</t>
        </is>
      </c>
      <c r="B9" s="24" t="n"/>
      <c r="C9" s="24">
        <f>IF(B9="","",IFERROR(INDEX(Mentees!$D$2:$D$301,MATCH(B9,Mentees!$A$2:$A$301,0)),"ID not found"))</f>
        <v/>
      </c>
      <c r="D9" s="24" t="n"/>
      <c r="E9" s="24">
        <f>IF(D9="","",IFERROR(INDEX(Mentors!$D$2:$D$151,MATCH(D9,Mentors!$A$2:$A$151,0)),"ID not found"))</f>
        <v/>
      </c>
      <c r="F9" s="24">
        <f>IF(D9="","",IFERROR(INDEX(Mentors!$F$2:$F$151,MATCH(D9,Mentors!$A$2:$A$151,0))&amp;"",""))</f>
        <v/>
      </c>
      <c r="G9" s="24">
        <f>IF(D9="","",IFERROR(INDEX(Mentors!$P$2:$P$151,MATCH(D9,Mentors!$A$2:$A$151,0))&amp;"",""))</f>
        <v/>
      </c>
      <c r="H9" s="32" t="n"/>
      <c r="I9" s="32" t="n"/>
      <c r="J9" s="32" t="n"/>
      <c r="K9" s="24">
        <f>IF(B9="","",COUNT(I9:J9))</f>
        <v/>
      </c>
      <c r="L9" s="24" t="n"/>
      <c r="M9" s="24" t="n"/>
      <c r="N9" s="24" t="n"/>
      <c r="O9" s="24" t="n"/>
    </row>
    <row r="10">
      <c r="A10" s="24" t="inlineStr">
        <is>
          <t>M-009</t>
        </is>
      </c>
      <c r="B10" s="24" t="n"/>
      <c r="C10" s="24">
        <f>IF(B10="","",IFERROR(INDEX(Mentees!$D$2:$D$301,MATCH(B10,Mentees!$A$2:$A$301,0)),"ID not found"))</f>
        <v/>
      </c>
      <c r="D10" s="24" t="n"/>
      <c r="E10" s="24">
        <f>IF(D10="","",IFERROR(INDEX(Mentors!$D$2:$D$151,MATCH(D10,Mentors!$A$2:$A$151,0)),"ID not found"))</f>
        <v/>
      </c>
      <c r="F10" s="24">
        <f>IF(D10="","",IFERROR(INDEX(Mentors!$F$2:$F$151,MATCH(D10,Mentors!$A$2:$A$151,0))&amp;"",""))</f>
        <v/>
      </c>
      <c r="G10" s="24">
        <f>IF(D10="","",IFERROR(INDEX(Mentors!$P$2:$P$151,MATCH(D10,Mentors!$A$2:$A$151,0))&amp;"",""))</f>
        <v/>
      </c>
      <c r="H10" s="32" t="n"/>
      <c r="I10" s="32" t="n"/>
      <c r="J10" s="32" t="n"/>
      <c r="K10" s="24">
        <f>IF(B10="","",COUNT(I10:J10))</f>
        <v/>
      </c>
      <c r="L10" s="24" t="n"/>
      <c r="M10" s="24" t="n"/>
      <c r="N10" s="24" t="n"/>
      <c r="O10" s="24" t="n"/>
    </row>
    <row r="11">
      <c r="A11" s="24" t="inlineStr">
        <is>
          <t>M-010</t>
        </is>
      </c>
      <c r="B11" s="24" t="n"/>
      <c r="C11" s="24">
        <f>IF(B11="","",IFERROR(INDEX(Mentees!$D$2:$D$301,MATCH(B11,Mentees!$A$2:$A$301,0)),"ID not found"))</f>
        <v/>
      </c>
      <c r="D11" s="24" t="n"/>
      <c r="E11" s="24">
        <f>IF(D11="","",IFERROR(INDEX(Mentors!$D$2:$D$151,MATCH(D11,Mentors!$A$2:$A$151,0)),"ID not found"))</f>
        <v/>
      </c>
      <c r="F11" s="24">
        <f>IF(D11="","",IFERROR(INDEX(Mentors!$F$2:$F$151,MATCH(D11,Mentors!$A$2:$A$151,0))&amp;"",""))</f>
        <v/>
      </c>
      <c r="G11" s="24">
        <f>IF(D11="","",IFERROR(INDEX(Mentors!$P$2:$P$151,MATCH(D11,Mentors!$A$2:$A$151,0))&amp;"",""))</f>
        <v/>
      </c>
      <c r="H11" s="32" t="n"/>
      <c r="I11" s="32" t="n"/>
      <c r="J11" s="32" t="n"/>
      <c r="K11" s="24">
        <f>IF(B11="","",COUNT(I11:J11))</f>
        <v/>
      </c>
      <c r="L11" s="24" t="n"/>
      <c r="M11" s="24" t="n"/>
      <c r="N11" s="24" t="n"/>
      <c r="O11" s="24" t="n"/>
    </row>
    <row r="12">
      <c r="A12" s="24" t="inlineStr">
        <is>
          <t>M-011</t>
        </is>
      </c>
      <c r="B12" s="24" t="n"/>
      <c r="C12" s="24">
        <f>IF(B12="","",IFERROR(INDEX(Mentees!$D$2:$D$301,MATCH(B12,Mentees!$A$2:$A$301,0)),"ID not found"))</f>
        <v/>
      </c>
      <c r="D12" s="24" t="n"/>
      <c r="E12" s="24">
        <f>IF(D12="","",IFERROR(INDEX(Mentors!$D$2:$D$151,MATCH(D12,Mentors!$A$2:$A$151,0)),"ID not found"))</f>
        <v/>
      </c>
      <c r="F12" s="24">
        <f>IF(D12="","",IFERROR(INDEX(Mentors!$F$2:$F$151,MATCH(D12,Mentors!$A$2:$A$151,0))&amp;"",""))</f>
        <v/>
      </c>
      <c r="G12" s="24">
        <f>IF(D12="","",IFERROR(INDEX(Mentors!$P$2:$P$151,MATCH(D12,Mentors!$A$2:$A$151,0))&amp;"",""))</f>
        <v/>
      </c>
      <c r="H12" s="32" t="n"/>
      <c r="I12" s="32" t="n"/>
      <c r="J12" s="32" t="n"/>
      <c r="K12" s="24">
        <f>IF(B12="","",COUNT(I12:J12))</f>
        <v/>
      </c>
      <c r="L12" s="24" t="n"/>
      <c r="M12" s="24" t="n"/>
      <c r="N12" s="24" t="n"/>
      <c r="O12" s="24" t="n"/>
    </row>
    <row r="13">
      <c r="A13" s="24" t="inlineStr">
        <is>
          <t>M-012</t>
        </is>
      </c>
      <c r="B13" s="24" t="n"/>
      <c r="C13" s="24">
        <f>IF(B13="","",IFERROR(INDEX(Mentees!$D$2:$D$301,MATCH(B13,Mentees!$A$2:$A$301,0)),"ID not found"))</f>
        <v/>
      </c>
      <c r="D13" s="24" t="n"/>
      <c r="E13" s="24">
        <f>IF(D13="","",IFERROR(INDEX(Mentors!$D$2:$D$151,MATCH(D13,Mentors!$A$2:$A$151,0)),"ID not found"))</f>
        <v/>
      </c>
      <c r="F13" s="24">
        <f>IF(D13="","",IFERROR(INDEX(Mentors!$F$2:$F$151,MATCH(D13,Mentors!$A$2:$A$151,0))&amp;"",""))</f>
        <v/>
      </c>
      <c r="G13" s="24">
        <f>IF(D13="","",IFERROR(INDEX(Mentors!$P$2:$P$151,MATCH(D13,Mentors!$A$2:$A$151,0))&amp;"",""))</f>
        <v/>
      </c>
      <c r="H13" s="32" t="n"/>
      <c r="I13" s="32" t="n"/>
      <c r="J13" s="32" t="n"/>
      <c r="K13" s="24">
        <f>IF(B13="","",COUNT(I13:J13))</f>
        <v/>
      </c>
      <c r="L13" s="24" t="n"/>
      <c r="M13" s="24" t="n"/>
      <c r="N13" s="24" t="n"/>
      <c r="O13" s="24" t="n"/>
    </row>
    <row r="14">
      <c r="A14" s="24" t="inlineStr">
        <is>
          <t>M-013</t>
        </is>
      </c>
      <c r="B14" s="24" t="n"/>
      <c r="C14" s="24">
        <f>IF(B14="","",IFERROR(INDEX(Mentees!$D$2:$D$301,MATCH(B14,Mentees!$A$2:$A$301,0)),"ID not found"))</f>
        <v/>
      </c>
      <c r="D14" s="24" t="n"/>
      <c r="E14" s="24">
        <f>IF(D14="","",IFERROR(INDEX(Mentors!$D$2:$D$151,MATCH(D14,Mentors!$A$2:$A$151,0)),"ID not found"))</f>
        <v/>
      </c>
      <c r="F14" s="24">
        <f>IF(D14="","",IFERROR(INDEX(Mentors!$F$2:$F$151,MATCH(D14,Mentors!$A$2:$A$151,0))&amp;"",""))</f>
        <v/>
      </c>
      <c r="G14" s="24">
        <f>IF(D14="","",IFERROR(INDEX(Mentors!$P$2:$P$151,MATCH(D14,Mentors!$A$2:$A$151,0))&amp;"",""))</f>
        <v/>
      </c>
      <c r="H14" s="32" t="n"/>
      <c r="I14" s="32" t="n"/>
      <c r="J14" s="32" t="n"/>
      <c r="K14" s="24">
        <f>IF(B14="","",COUNT(I14:J14))</f>
        <v/>
      </c>
      <c r="L14" s="24" t="n"/>
      <c r="M14" s="24" t="n"/>
      <c r="N14" s="24" t="n"/>
      <c r="O14" s="24" t="n"/>
    </row>
    <row r="15">
      <c r="A15" s="24" t="inlineStr">
        <is>
          <t>M-014</t>
        </is>
      </c>
      <c r="B15" s="24" t="n"/>
      <c r="C15" s="24">
        <f>IF(B15="","",IFERROR(INDEX(Mentees!$D$2:$D$301,MATCH(B15,Mentees!$A$2:$A$301,0)),"ID not found"))</f>
        <v/>
      </c>
      <c r="D15" s="24" t="n"/>
      <c r="E15" s="24">
        <f>IF(D15="","",IFERROR(INDEX(Mentors!$D$2:$D$151,MATCH(D15,Mentors!$A$2:$A$151,0)),"ID not found"))</f>
        <v/>
      </c>
      <c r="F15" s="24">
        <f>IF(D15="","",IFERROR(INDEX(Mentors!$F$2:$F$151,MATCH(D15,Mentors!$A$2:$A$151,0))&amp;"",""))</f>
        <v/>
      </c>
      <c r="G15" s="24">
        <f>IF(D15="","",IFERROR(INDEX(Mentors!$P$2:$P$151,MATCH(D15,Mentors!$A$2:$A$151,0))&amp;"",""))</f>
        <v/>
      </c>
      <c r="H15" s="32" t="n"/>
      <c r="I15" s="32" t="n"/>
      <c r="J15" s="32" t="n"/>
      <c r="K15" s="24">
        <f>IF(B15="","",COUNT(I15:J15))</f>
        <v/>
      </c>
      <c r="L15" s="24" t="n"/>
      <c r="M15" s="24" t="n"/>
      <c r="N15" s="24" t="n"/>
      <c r="O15" s="24" t="n"/>
    </row>
    <row r="16">
      <c r="A16" s="24" t="inlineStr">
        <is>
          <t>M-015</t>
        </is>
      </c>
      <c r="B16" s="24" t="n"/>
      <c r="C16" s="24">
        <f>IF(B16="","",IFERROR(INDEX(Mentees!$D$2:$D$301,MATCH(B16,Mentees!$A$2:$A$301,0)),"ID not found"))</f>
        <v/>
      </c>
      <c r="D16" s="24" t="n"/>
      <c r="E16" s="24">
        <f>IF(D16="","",IFERROR(INDEX(Mentors!$D$2:$D$151,MATCH(D16,Mentors!$A$2:$A$151,0)),"ID not found"))</f>
        <v/>
      </c>
      <c r="F16" s="24">
        <f>IF(D16="","",IFERROR(INDEX(Mentors!$F$2:$F$151,MATCH(D16,Mentors!$A$2:$A$151,0))&amp;"",""))</f>
        <v/>
      </c>
      <c r="G16" s="24">
        <f>IF(D16="","",IFERROR(INDEX(Mentors!$P$2:$P$151,MATCH(D16,Mentors!$A$2:$A$151,0))&amp;"",""))</f>
        <v/>
      </c>
      <c r="H16" s="32" t="n"/>
      <c r="I16" s="32" t="n"/>
      <c r="J16" s="32" t="n"/>
      <c r="K16" s="24">
        <f>IF(B16="","",COUNT(I16:J16))</f>
        <v/>
      </c>
      <c r="L16" s="24" t="n"/>
      <c r="M16" s="24" t="n"/>
      <c r="N16" s="24" t="n"/>
      <c r="O16" s="24" t="n"/>
    </row>
    <row r="17">
      <c r="A17" s="24" t="inlineStr">
        <is>
          <t>M-016</t>
        </is>
      </c>
      <c r="B17" s="24" t="n"/>
      <c r="C17" s="24">
        <f>IF(B17="","",IFERROR(INDEX(Mentees!$D$2:$D$301,MATCH(B17,Mentees!$A$2:$A$301,0)),"ID not found"))</f>
        <v/>
      </c>
      <c r="D17" s="24" t="n"/>
      <c r="E17" s="24">
        <f>IF(D17="","",IFERROR(INDEX(Mentors!$D$2:$D$151,MATCH(D17,Mentors!$A$2:$A$151,0)),"ID not found"))</f>
        <v/>
      </c>
      <c r="F17" s="24">
        <f>IF(D17="","",IFERROR(INDEX(Mentors!$F$2:$F$151,MATCH(D17,Mentors!$A$2:$A$151,0))&amp;"",""))</f>
        <v/>
      </c>
      <c r="G17" s="24">
        <f>IF(D17="","",IFERROR(INDEX(Mentors!$P$2:$P$151,MATCH(D17,Mentors!$A$2:$A$151,0))&amp;"",""))</f>
        <v/>
      </c>
      <c r="H17" s="32" t="n"/>
      <c r="I17" s="32" t="n"/>
      <c r="J17" s="32" t="n"/>
      <c r="K17" s="24">
        <f>IF(B17="","",COUNT(I17:J17))</f>
        <v/>
      </c>
      <c r="L17" s="24" t="n"/>
      <c r="M17" s="24" t="n"/>
      <c r="N17" s="24" t="n"/>
      <c r="O17" s="24" t="n"/>
    </row>
    <row r="18">
      <c r="A18" s="24" t="inlineStr">
        <is>
          <t>M-017</t>
        </is>
      </c>
      <c r="B18" s="24" t="n"/>
      <c r="C18" s="24">
        <f>IF(B18="","",IFERROR(INDEX(Mentees!$D$2:$D$301,MATCH(B18,Mentees!$A$2:$A$301,0)),"ID not found"))</f>
        <v/>
      </c>
      <c r="D18" s="24" t="n"/>
      <c r="E18" s="24">
        <f>IF(D18="","",IFERROR(INDEX(Mentors!$D$2:$D$151,MATCH(D18,Mentors!$A$2:$A$151,0)),"ID not found"))</f>
        <v/>
      </c>
      <c r="F18" s="24">
        <f>IF(D18="","",IFERROR(INDEX(Mentors!$F$2:$F$151,MATCH(D18,Mentors!$A$2:$A$151,0))&amp;"",""))</f>
        <v/>
      </c>
      <c r="G18" s="24">
        <f>IF(D18="","",IFERROR(INDEX(Mentors!$P$2:$P$151,MATCH(D18,Mentors!$A$2:$A$151,0))&amp;"",""))</f>
        <v/>
      </c>
      <c r="H18" s="32" t="n"/>
      <c r="I18" s="32" t="n"/>
      <c r="J18" s="32" t="n"/>
      <c r="K18" s="24">
        <f>IF(B18="","",COUNT(I18:J18))</f>
        <v/>
      </c>
      <c r="L18" s="24" t="n"/>
      <c r="M18" s="24" t="n"/>
      <c r="N18" s="24" t="n"/>
      <c r="O18" s="24" t="n"/>
    </row>
    <row r="19">
      <c r="A19" s="24" t="inlineStr">
        <is>
          <t>M-018</t>
        </is>
      </c>
      <c r="B19" s="24" t="n"/>
      <c r="C19" s="24">
        <f>IF(B19="","",IFERROR(INDEX(Mentees!$D$2:$D$301,MATCH(B19,Mentees!$A$2:$A$301,0)),"ID not found"))</f>
        <v/>
      </c>
      <c r="D19" s="24" t="n"/>
      <c r="E19" s="24">
        <f>IF(D19="","",IFERROR(INDEX(Mentors!$D$2:$D$151,MATCH(D19,Mentors!$A$2:$A$151,0)),"ID not found"))</f>
        <v/>
      </c>
      <c r="F19" s="24">
        <f>IF(D19="","",IFERROR(INDEX(Mentors!$F$2:$F$151,MATCH(D19,Mentors!$A$2:$A$151,0))&amp;"",""))</f>
        <v/>
      </c>
      <c r="G19" s="24">
        <f>IF(D19="","",IFERROR(INDEX(Mentors!$P$2:$P$151,MATCH(D19,Mentors!$A$2:$A$151,0))&amp;"",""))</f>
        <v/>
      </c>
      <c r="H19" s="32" t="n"/>
      <c r="I19" s="32" t="n"/>
      <c r="J19" s="32" t="n"/>
      <c r="K19" s="24">
        <f>IF(B19="","",COUNT(I19:J19))</f>
        <v/>
      </c>
      <c r="L19" s="24" t="n"/>
      <c r="M19" s="24" t="n"/>
      <c r="N19" s="24" t="n"/>
      <c r="O19" s="24" t="n"/>
    </row>
    <row r="20">
      <c r="A20" s="24" t="inlineStr">
        <is>
          <t>M-019</t>
        </is>
      </c>
      <c r="B20" s="24" t="n"/>
      <c r="C20" s="24">
        <f>IF(B20="","",IFERROR(INDEX(Mentees!$D$2:$D$301,MATCH(B20,Mentees!$A$2:$A$301,0)),"ID not found"))</f>
        <v/>
      </c>
      <c r="D20" s="24" t="n"/>
      <c r="E20" s="24">
        <f>IF(D20="","",IFERROR(INDEX(Mentors!$D$2:$D$151,MATCH(D20,Mentors!$A$2:$A$151,0)),"ID not found"))</f>
        <v/>
      </c>
      <c r="F20" s="24">
        <f>IF(D20="","",IFERROR(INDEX(Mentors!$F$2:$F$151,MATCH(D20,Mentors!$A$2:$A$151,0))&amp;"",""))</f>
        <v/>
      </c>
      <c r="G20" s="24">
        <f>IF(D20="","",IFERROR(INDEX(Mentors!$P$2:$P$151,MATCH(D20,Mentors!$A$2:$A$151,0))&amp;"",""))</f>
        <v/>
      </c>
      <c r="H20" s="32" t="n"/>
      <c r="I20" s="32" t="n"/>
      <c r="J20" s="32" t="n"/>
      <c r="K20" s="24">
        <f>IF(B20="","",COUNT(I20:J20))</f>
        <v/>
      </c>
      <c r="L20" s="24" t="n"/>
      <c r="M20" s="24" t="n"/>
      <c r="N20" s="24" t="n"/>
      <c r="O20" s="24" t="n"/>
    </row>
    <row r="21">
      <c r="A21" s="24" t="inlineStr">
        <is>
          <t>M-020</t>
        </is>
      </c>
      <c r="B21" s="24" t="n"/>
      <c r="C21" s="24">
        <f>IF(B21="","",IFERROR(INDEX(Mentees!$D$2:$D$301,MATCH(B21,Mentees!$A$2:$A$301,0)),"ID not found"))</f>
        <v/>
      </c>
      <c r="D21" s="24" t="n"/>
      <c r="E21" s="24">
        <f>IF(D21="","",IFERROR(INDEX(Mentors!$D$2:$D$151,MATCH(D21,Mentors!$A$2:$A$151,0)),"ID not found"))</f>
        <v/>
      </c>
      <c r="F21" s="24">
        <f>IF(D21="","",IFERROR(INDEX(Mentors!$F$2:$F$151,MATCH(D21,Mentors!$A$2:$A$151,0))&amp;"",""))</f>
        <v/>
      </c>
      <c r="G21" s="24">
        <f>IF(D21="","",IFERROR(INDEX(Mentors!$P$2:$P$151,MATCH(D21,Mentors!$A$2:$A$151,0))&amp;"",""))</f>
        <v/>
      </c>
      <c r="H21" s="32" t="n"/>
      <c r="I21" s="32" t="n"/>
      <c r="J21" s="32" t="n"/>
      <c r="K21" s="24">
        <f>IF(B21="","",COUNT(I21:J21))</f>
        <v/>
      </c>
      <c r="L21" s="24" t="n"/>
      <c r="M21" s="24" t="n"/>
      <c r="N21" s="24" t="n"/>
      <c r="O21" s="24" t="n"/>
    </row>
    <row r="22">
      <c r="A22" s="24" t="inlineStr">
        <is>
          <t>M-021</t>
        </is>
      </c>
      <c r="B22" s="24" t="n"/>
      <c r="C22" s="24">
        <f>IF(B22="","",IFERROR(INDEX(Mentees!$D$2:$D$301,MATCH(B22,Mentees!$A$2:$A$301,0)),"ID not found"))</f>
        <v/>
      </c>
      <c r="D22" s="24" t="n"/>
      <c r="E22" s="24">
        <f>IF(D22="","",IFERROR(INDEX(Mentors!$D$2:$D$151,MATCH(D22,Mentors!$A$2:$A$151,0)),"ID not found"))</f>
        <v/>
      </c>
      <c r="F22" s="24">
        <f>IF(D22="","",IFERROR(INDEX(Mentors!$F$2:$F$151,MATCH(D22,Mentors!$A$2:$A$151,0))&amp;"",""))</f>
        <v/>
      </c>
      <c r="G22" s="24">
        <f>IF(D22="","",IFERROR(INDEX(Mentors!$P$2:$P$151,MATCH(D22,Mentors!$A$2:$A$151,0))&amp;"",""))</f>
        <v/>
      </c>
      <c r="H22" s="32" t="n"/>
      <c r="I22" s="32" t="n"/>
      <c r="J22" s="32" t="n"/>
      <c r="K22" s="24">
        <f>IF(B22="","",COUNT(I22:J22))</f>
        <v/>
      </c>
      <c r="L22" s="24" t="n"/>
      <c r="M22" s="24" t="n"/>
      <c r="N22" s="24" t="n"/>
      <c r="O22" s="24" t="n"/>
    </row>
    <row r="23">
      <c r="A23" s="24" t="inlineStr">
        <is>
          <t>M-022</t>
        </is>
      </c>
      <c r="B23" s="24" t="n"/>
      <c r="C23" s="24">
        <f>IF(B23="","",IFERROR(INDEX(Mentees!$D$2:$D$301,MATCH(B23,Mentees!$A$2:$A$301,0)),"ID not found"))</f>
        <v/>
      </c>
      <c r="D23" s="24" t="n"/>
      <c r="E23" s="24">
        <f>IF(D23="","",IFERROR(INDEX(Mentors!$D$2:$D$151,MATCH(D23,Mentors!$A$2:$A$151,0)),"ID not found"))</f>
        <v/>
      </c>
      <c r="F23" s="24">
        <f>IF(D23="","",IFERROR(INDEX(Mentors!$F$2:$F$151,MATCH(D23,Mentors!$A$2:$A$151,0))&amp;"",""))</f>
        <v/>
      </c>
      <c r="G23" s="24">
        <f>IF(D23="","",IFERROR(INDEX(Mentors!$P$2:$P$151,MATCH(D23,Mentors!$A$2:$A$151,0))&amp;"",""))</f>
        <v/>
      </c>
      <c r="H23" s="32" t="n"/>
      <c r="I23" s="32" t="n"/>
      <c r="J23" s="32" t="n"/>
      <c r="K23" s="24">
        <f>IF(B23="","",COUNT(I23:J23))</f>
        <v/>
      </c>
      <c r="L23" s="24" t="n"/>
      <c r="M23" s="24" t="n"/>
      <c r="N23" s="24" t="n"/>
      <c r="O23" s="24" t="n"/>
    </row>
    <row r="24">
      <c r="A24" s="24" t="inlineStr">
        <is>
          <t>M-023</t>
        </is>
      </c>
      <c r="B24" s="24" t="n"/>
      <c r="C24" s="24">
        <f>IF(B24="","",IFERROR(INDEX(Mentees!$D$2:$D$301,MATCH(B24,Mentees!$A$2:$A$301,0)),"ID not found"))</f>
        <v/>
      </c>
      <c r="D24" s="24" t="n"/>
      <c r="E24" s="24">
        <f>IF(D24="","",IFERROR(INDEX(Mentors!$D$2:$D$151,MATCH(D24,Mentors!$A$2:$A$151,0)),"ID not found"))</f>
        <v/>
      </c>
      <c r="F24" s="24">
        <f>IF(D24="","",IFERROR(INDEX(Mentors!$F$2:$F$151,MATCH(D24,Mentors!$A$2:$A$151,0))&amp;"",""))</f>
        <v/>
      </c>
      <c r="G24" s="24">
        <f>IF(D24="","",IFERROR(INDEX(Mentors!$P$2:$P$151,MATCH(D24,Mentors!$A$2:$A$151,0))&amp;"",""))</f>
        <v/>
      </c>
      <c r="H24" s="32" t="n"/>
      <c r="I24" s="32" t="n"/>
      <c r="J24" s="32" t="n"/>
      <c r="K24" s="24">
        <f>IF(B24="","",COUNT(I24:J24))</f>
        <v/>
      </c>
      <c r="L24" s="24" t="n"/>
      <c r="M24" s="24" t="n"/>
      <c r="N24" s="24" t="n"/>
      <c r="O24" s="24" t="n"/>
    </row>
    <row r="25">
      <c r="A25" s="24" t="inlineStr">
        <is>
          <t>M-024</t>
        </is>
      </c>
      <c r="B25" s="24" t="n"/>
      <c r="C25" s="24">
        <f>IF(B25="","",IFERROR(INDEX(Mentees!$D$2:$D$301,MATCH(B25,Mentees!$A$2:$A$301,0)),"ID not found"))</f>
        <v/>
      </c>
      <c r="D25" s="24" t="n"/>
      <c r="E25" s="24">
        <f>IF(D25="","",IFERROR(INDEX(Mentors!$D$2:$D$151,MATCH(D25,Mentors!$A$2:$A$151,0)),"ID not found"))</f>
        <v/>
      </c>
      <c r="F25" s="24">
        <f>IF(D25="","",IFERROR(INDEX(Mentors!$F$2:$F$151,MATCH(D25,Mentors!$A$2:$A$151,0))&amp;"",""))</f>
        <v/>
      </c>
      <c r="G25" s="24">
        <f>IF(D25="","",IFERROR(INDEX(Mentors!$P$2:$P$151,MATCH(D25,Mentors!$A$2:$A$151,0))&amp;"",""))</f>
        <v/>
      </c>
      <c r="H25" s="32" t="n"/>
      <c r="I25" s="32" t="n"/>
      <c r="J25" s="32" t="n"/>
      <c r="K25" s="24">
        <f>IF(B25="","",COUNT(I25:J25))</f>
        <v/>
      </c>
      <c r="L25" s="24" t="n"/>
      <c r="M25" s="24" t="n"/>
      <c r="N25" s="24" t="n"/>
      <c r="O25" s="24" t="n"/>
    </row>
    <row r="26">
      <c r="A26" s="24" t="inlineStr">
        <is>
          <t>M-025</t>
        </is>
      </c>
      <c r="B26" s="24" t="n"/>
      <c r="C26" s="24">
        <f>IF(B26="","",IFERROR(INDEX(Mentees!$D$2:$D$301,MATCH(B26,Mentees!$A$2:$A$301,0)),"ID not found"))</f>
        <v/>
      </c>
      <c r="D26" s="24" t="n"/>
      <c r="E26" s="24">
        <f>IF(D26="","",IFERROR(INDEX(Mentors!$D$2:$D$151,MATCH(D26,Mentors!$A$2:$A$151,0)),"ID not found"))</f>
        <v/>
      </c>
      <c r="F26" s="24">
        <f>IF(D26="","",IFERROR(INDEX(Mentors!$F$2:$F$151,MATCH(D26,Mentors!$A$2:$A$151,0))&amp;"",""))</f>
        <v/>
      </c>
      <c r="G26" s="24">
        <f>IF(D26="","",IFERROR(INDEX(Mentors!$P$2:$P$151,MATCH(D26,Mentors!$A$2:$A$151,0))&amp;"",""))</f>
        <v/>
      </c>
      <c r="H26" s="32" t="n"/>
      <c r="I26" s="32" t="n"/>
      <c r="J26" s="32" t="n"/>
      <c r="K26" s="24">
        <f>IF(B26="","",COUNT(I26:J26))</f>
        <v/>
      </c>
      <c r="L26" s="24" t="n"/>
      <c r="M26" s="24" t="n"/>
      <c r="N26" s="24" t="n"/>
      <c r="O26" s="24" t="n"/>
    </row>
    <row r="27">
      <c r="A27" s="24" t="inlineStr">
        <is>
          <t>M-026</t>
        </is>
      </c>
      <c r="B27" s="24" t="n"/>
      <c r="C27" s="24">
        <f>IF(B27="","",IFERROR(INDEX(Mentees!$D$2:$D$301,MATCH(B27,Mentees!$A$2:$A$301,0)),"ID not found"))</f>
        <v/>
      </c>
      <c r="D27" s="24" t="n"/>
      <c r="E27" s="24">
        <f>IF(D27="","",IFERROR(INDEX(Mentors!$D$2:$D$151,MATCH(D27,Mentors!$A$2:$A$151,0)),"ID not found"))</f>
        <v/>
      </c>
      <c r="F27" s="24">
        <f>IF(D27="","",IFERROR(INDEX(Mentors!$F$2:$F$151,MATCH(D27,Mentors!$A$2:$A$151,0))&amp;"",""))</f>
        <v/>
      </c>
      <c r="G27" s="24">
        <f>IF(D27="","",IFERROR(INDEX(Mentors!$P$2:$P$151,MATCH(D27,Mentors!$A$2:$A$151,0))&amp;"",""))</f>
        <v/>
      </c>
      <c r="H27" s="32" t="n"/>
      <c r="I27" s="32" t="n"/>
      <c r="J27" s="32" t="n"/>
      <c r="K27" s="24">
        <f>IF(B27="","",COUNT(I27:J27))</f>
        <v/>
      </c>
      <c r="L27" s="24" t="n"/>
      <c r="M27" s="24" t="n"/>
      <c r="N27" s="24" t="n"/>
      <c r="O27" s="24" t="n"/>
    </row>
    <row r="28">
      <c r="A28" s="24" t="inlineStr">
        <is>
          <t>M-027</t>
        </is>
      </c>
      <c r="B28" s="24" t="n"/>
      <c r="C28" s="24">
        <f>IF(B28="","",IFERROR(INDEX(Mentees!$D$2:$D$301,MATCH(B28,Mentees!$A$2:$A$301,0)),"ID not found"))</f>
        <v/>
      </c>
      <c r="D28" s="24" t="n"/>
      <c r="E28" s="24">
        <f>IF(D28="","",IFERROR(INDEX(Mentors!$D$2:$D$151,MATCH(D28,Mentors!$A$2:$A$151,0)),"ID not found"))</f>
        <v/>
      </c>
      <c r="F28" s="24">
        <f>IF(D28="","",IFERROR(INDEX(Mentors!$F$2:$F$151,MATCH(D28,Mentors!$A$2:$A$151,0))&amp;"",""))</f>
        <v/>
      </c>
      <c r="G28" s="24">
        <f>IF(D28="","",IFERROR(INDEX(Mentors!$P$2:$P$151,MATCH(D28,Mentors!$A$2:$A$151,0))&amp;"",""))</f>
        <v/>
      </c>
      <c r="H28" s="32" t="n"/>
      <c r="I28" s="32" t="n"/>
      <c r="J28" s="32" t="n"/>
      <c r="K28" s="24">
        <f>IF(B28="","",COUNT(I28:J28))</f>
        <v/>
      </c>
      <c r="L28" s="24" t="n"/>
      <c r="M28" s="24" t="n"/>
      <c r="N28" s="24" t="n"/>
      <c r="O28" s="24" t="n"/>
    </row>
    <row r="29">
      <c r="A29" s="24" t="inlineStr">
        <is>
          <t>M-028</t>
        </is>
      </c>
      <c r="B29" s="24" t="n"/>
      <c r="C29" s="24">
        <f>IF(B29="","",IFERROR(INDEX(Mentees!$D$2:$D$301,MATCH(B29,Mentees!$A$2:$A$301,0)),"ID not found"))</f>
        <v/>
      </c>
      <c r="D29" s="24" t="n"/>
      <c r="E29" s="24">
        <f>IF(D29="","",IFERROR(INDEX(Mentors!$D$2:$D$151,MATCH(D29,Mentors!$A$2:$A$151,0)),"ID not found"))</f>
        <v/>
      </c>
      <c r="F29" s="24">
        <f>IF(D29="","",IFERROR(INDEX(Mentors!$F$2:$F$151,MATCH(D29,Mentors!$A$2:$A$151,0))&amp;"",""))</f>
        <v/>
      </c>
      <c r="G29" s="24">
        <f>IF(D29="","",IFERROR(INDEX(Mentors!$P$2:$P$151,MATCH(D29,Mentors!$A$2:$A$151,0))&amp;"",""))</f>
        <v/>
      </c>
      <c r="H29" s="32" t="n"/>
      <c r="I29" s="32" t="n"/>
      <c r="J29" s="32" t="n"/>
      <c r="K29" s="24">
        <f>IF(B29="","",COUNT(I29:J29))</f>
        <v/>
      </c>
      <c r="L29" s="24" t="n"/>
      <c r="M29" s="24" t="n"/>
      <c r="N29" s="24" t="n"/>
      <c r="O29" s="24" t="n"/>
    </row>
    <row r="30">
      <c r="A30" s="24" t="inlineStr">
        <is>
          <t>M-029</t>
        </is>
      </c>
      <c r="B30" s="24" t="n"/>
      <c r="C30" s="24">
        <f>IF(B30="","",IFERROR(INDEX(Mentees!$D$2:$D$301,MATCH(B30,Mentees!$A$2:$A$301,0)),"ID not found"))</f>
        <v/>
      </c>
      <c r="D30" s="24" t="n"/>
      <c r="E30" s="24">
        <f>IF(D30="","",IFERROR(INDEX(Mentors!$D$2:$D$151,MATCH(D30,Mentors!$A$2:$A$151,0)),"ID not found"))</f>
        <v/>
      </c>
      <c r="F30" s="24">
        <f>IF(D30="","",IFERROR(INDEX(Mentors!$F$2:$F$151,MATCH(D30,Mentors!$A$2:$A$151,0))&amp;"",""))</f>
        <v/>
      </c>
      <c r="G30" s="24">
        <f>IF(D30="","",IFERROR(INDEX(Mentors!$P$2:$P$151,MATCH(D30,Mentors!$A$2:$A$151,0))&amp;"",""))</f>
        <v/>
      </c>
      <c r="H30" s="32" t="n"/>
      <c r="I30" s="32" t="n"/>
      <c r="J30" s="32" t="n"/>
      <c r="K30" s="24">
        <f>IF(B30="","",COUNT(I30:J30))</f>
        <v/>
      </c>
      <c r="L30" s="24" t="n"/>
      <c r="M30" s="24" t="n"/>
      <c r="N30" s="24" t="n"/>
      <c r="O30" s="24" t="n"/>
    </row>
    <row r="31">
      <c r="A31" s="24" t="inlineStr">
        <is>
          <t>M-030</t>
        </is>
      </c>
      <c r="B31" s="24" t="n"/>
      <c r="C31" s="24">
        <f>IF(B31="","",IFERROR(INDEX(Mentees!$D$2:$D$301,MATCH(B31,Mentees!$A$2:$A$301,0)),"ID not found"))</f>
        <v/>
      </c>
      <c r="D31" s="24" t="n"/>
      <c r="E31" s="24">
        <f>IF(D31="","",IFERROR(INDEX(Mentors!$D$2:$D$151,MATCH(D31,Mentors!$A$2:$A$151,0)),"ID not found"))</f>
        <v/>
      </c>
      <c r="F31" s="24">
        <f>IF(D31="","",IFERROR(INDEX(Mentors!$F$2:$F$151,MATCH(D31,Mentors!$A$2:$A$151,0))&amp;"",""))</f>
        <v/>
      </c>
      <c r="G31" s="24">
        <f>IF(D31="","",IFERROR(INDEX(Mentors!$P$2:$P$151,MATCH(D31,Mentors!$A$2:$A$151,0))&amp;"",""))</f>
        <v/>
      </c>
      <c r="H31" s="32" t="n"/>
      <c r="I31" s="32" t="n"/>
      <c r="J31" s="32" t="n"/>
      <c r="K31" s="24">
        <f>IF(B31="","",COUNT(I31:J31))</f>
        <v/>
      </c>
      <c r="L31" s="24" t="n"/>
      <c r="M31" s="24" t="n"/>
      <c r="N31" s="24" t="n"/>
      <c r="O31" s="24" t="n"/>
    </row>
    <row r="32">
      <c r="A32" s="24" t="inlineStr">
        <is>
          <t>M-031</t>
        </is>
      </c>
      <c r="B32" s="24" t="n"/>
      <c r="C32" s="24">
        <f>IF(B32="","",IFERROR(INDEX(Mentees!$D$2:$D$301,MATCH(B32,Mentees!$A$2:$A$301,0)),"ID not found"))</f>
        <v/>
      </c>
      <c r="D32" s="24" t="n"/>
      <c r="E32" s="24">
        <f>IF(D32="","",IFERROR(INDEX(Mentors!$D$2:$D$151,MATCH(D32,Mentors!$A$2:$A$151,0)),"ID not found"))</f>
        <v/>
      </c>
      <c r="F32" s="24">
        <f>IF(D32="","",IFERROR(INDEX(Mentors!$F$2:$F$151,MATCH(D32,Mentors!$A$2:$A$151,0))&amp;"",""))</f>
        <v/>
      </c>
      <c r="G32" s="24">
        <f>IF(D32="","",IFERROR(INDEX(Mentors!$P$2:$P$151,MATCH(D32,Mentors!$A$2:$A$151,0))&amp;"",""))</f>
        <v/>
      </c>
      <c r="H32" s="32" t="n"/>
      <c r="I32" s="32" t="n"/>
      <c r="J32" s="32" t="n"/>
      <c r="K32" s="24">
        <f>IF(B32="","",COUNT(I32:J32))</f>
        <v/>
      </c>
      <c r="L32" s="24" t="n"/>
      <c r="M32" s="24" t="n"/>
      <c r="N32" s="24" t="n"/>
      <c r="O32" s="24" t="n"/>
    </row>
    <row r="33">
      <c r="A33" s="24" t="inlineStr">
        <is>
          <t>M-032</t>
        </is>
      </c>
      <c r="B33" s="24" t="n"/>
      <c r="C33" s="24">
        <f>IF(B33="","",IFERROR(INDEX(Mentees!$D$2:$D$301,MATCH(B33,Mentees!$A$2:$A$301,0)),"ID not found"))</f>
        <v/>
      </c>
      <c r="D33" s="24" t="n"/>
      <c r="E33" s="24">
        <f>IF(D33="","",IFERROR(INDEX(Mentors!$D$2:$D$151,MATCH(D33,Mentors!$A$2:$A$151,0)),"ID not found"))</f>
        <v/>
      </c>
      <c r="F33" s="24">
        <f>IF(D33="","",IFERROR(INDEX(Mentors!$F$2:$F$151,MATCH(D33,Mentors!$A$2:$A$151,0))&amp;"",""))</f>
        <v/>
      </c>
      <c r="G33" s="24">
        <f>IF(D33="","",IFERROR(INDEX(Mentors!$P$2:$P$151,MATCH(D33,Mentors!$A$2:$A$151,0))&amp;"",""))</f>
        <v/>
      </c>
      <c r="H33" s="32" t="n"/>
      <c r="I33" s="32" t="n"/>
      <c r="J33" s="32" t="n"/>
      <c r="K33" s="24">
        <f>IF(B33="","",COUNT(I33:J33))</f>
        <v/>
      </c>
      <c r="L33" s="24" t="n"/>
      <c r="M33" s="24" t="n"/>
      <c r="N33" s="24" t="n"/>
      <c r="O33" s="24" t="n"/>
    </row>
    <row r="34">
      <c r="A34" s="24" t="inlineStr">
        <is>
          <t>M-033</t>
        </is>
      </c>
      <c r="B34" s="24" t="n"/>
      <c r="C34" s="24">
        <f>IF(B34="","",IFERROR(INDEX(Mentees!$D$2:$D$301,MATCH(B34,Mentees!$A$2:$A$301,0)),"ID not found"))</f>
        <v/>
      </c>
      <c r="D34" s="24" t="n"/>
      <c r="E34" s="24">
        <f>IF(D34="","",IFERROR(INDEX(Mentors!$D$2:$D$151,MATCH(D34,Mentors!$A$2:$A$151,0)),"ID not found"))</f>
        <v/>
      </c>
      <c r="F34" s="24">
        <f>IF(D34="","",IFERROR(INDEX(Mentors!$F$2:$F$151,MATCH(D34,Mentors!$A$2:$A$151,0))&amp;"",""))</f>
        <v/>
      </c>
      <c r="G34" s="24">
        <f>IF(D34="","",IFERROR(INDEX(Mentors!$P$2:$P$151,MATCH(D34,Mentors!$A$2:$A$151,0))&amp;"",""))</f>
        <v/>
      </c>
      <c r="H34" s="32" t="n"/>
      <c r="I34" s="32" t="n"/>
      <c r="J34" s="32" t="n"/>
      <c r="K34" s="24">
        <f>IF(B34="","",COUNT(I34:J34))</f>
        <v/>
      </c>
      <c r="L34" s="24" t="n"/>
      <c r="M34" s="24" t="n"/>
      <c r="N34" s="24" t="n"/>
      <c r="O34" s="24" t="n"/>
    </row>
    <row r="35">
      <c r="A35" s="24" t="inlineStr">
        <is>
          <t>M-034</t>
        </is>
      </c>
      <c r="B35" s="24" t="n"/>
      <c r="C35" s="24">
        <f>IF(B35="","",IFERROR(INDEX(Mentees!$D$2:$D$301,MATCH(B35,Mentees!$A$2:$A$301,0)),"ID not found"))</f>
        <v/>
      </c>
      <c r="D35" s="24" t="n"/>
      <c r="E35" s="24">
        <f>IF(D35="","",IFERROR(INDEX(Mentors!$D$2:$D$151,MATCH(D35,Mentors!$A$2:$A$151,0)),"ID not found"))</f>
        <v/>
      </c>
      <c r="F35" s="24">
        <f>IF(D35="","",IFERROR(INDEX(Mentors!$F$2:$F$151,MATCH(D35,Mentors!$A$2:$A$151,0))&amp;"",""))</f>
        <v/>
      </c>
      <c r="G35" s="24">
        <f>IF(D35="","",IFERROR(INDEX(Mentors!$P$2:$P$151,MATCH(D35,Mentors!$A$2:$A$151,0))&amp;"",""))</f>
        <v/>
      </c>
      <c r="H35" s="32" t="n"/>
      <c r="I35" s="32" t="n"/>
      <c r="J35" s="32" t="n"/>
      <c r="K35" s="24">
        <f>IF(B35="","",COUNT(I35:J35))</f>
        <v/>
      </c>
      <c r="L35" s="24" t="n"/>
      <c r="M35" s="24" t="n"/>
      <c r="N35" s="24" t="n"/>
      <c r="O35" s="24" t="n"/>
    </row>
    <row r="36">
      <c r="A36" s="24" t="inlineStr">
        <is>
          <t>M-035</t>
        </is>
      </c>
      <c r="B36" s="24" t="n"/>
      <c r="C36" s="24">
        <f>IF(B36="","",IFERROR(INDEX(Mentees!$D$2:$D$301,MATCH(B36,Mentees!$A$2:$A$301,0)),"ID not found"))</f>
        <v/>
      </c>
      <c r="D36" s="24" t="n"/>
      <c r="E36" s="24">
        <f>IF(D36="","",IFERROR(INDEX(Mentors!$D$2:$D$151,MATCH(D36,Mentors!$A$2:$A$151,0)),"ID not found"))</f>
        <v/>
      </c>
      <c r="F36" s="24">
        <f>IF(D36="","",IFERROR(INDEX(Mentors!$F$2:$F$151,MATCH(D36,Mentors!$A$2:$A$151,0))&amp;"",""))</f>
        <v/>
      </c>
      <c r="G36" s="24">
        <f>IF(D36="","",IFERROR(INDEX(Mentors!$P$2:$P$151,MATCH(D36,Mentors!$A$2:$A$151,0))&amp;"",""))</f>
        <v/>
      </c>
      <c r="H36" s="32" t="n"/>
      <c r="I36" s="32" t="n"/>
      <c r="J36" s="32" t="n"/>
      <c r="K36" s="24">
        <f>IF(B36="","",COUNT(I36:J36))</f>
        <v/>
      </c>
      <c r="L36" s="24" t="n"/>
      <c r="M36" s="24" t="n"/>
      <c r="N36" s="24" t="n"/>
      <c r="O36" s="24" t="n"/>
    </row>
    <row r="37">
      <c r="A37" s="24" t="inlineStr">
        <is>
          <t>M-036</t>
        </is>
      </c>
      <c r="B37" s="24" t="n"/>
      <c r="C37" s="24">
        <f>IF(B37="","",IFERROR(INDEX(Mentees!$D$2:$D$301,MATCH(B37,Mentees!$A$2:$A$301,0)),"ID not found"))</f>
        <v/>
      </c>
      <c r="D37" s="24" t="n"/>
      <c r="E37" s="24">
        <f>IF(D37="","",IFERROR(INDEX(Mentors!$D$2:$D$151,MATCH(D37,Mentors!$A$2:$A$151,0)),"ID not found"))</f>
        <v/>
      </c>
      <c r="F37" s="24">
        <f>IF(D37="","",IFERROR(INDEX(Mentors!$F$2:$F$151,MATCH(D37,Mentors!$A$2:$A$151,0))&amp;"",""))</f>
        <v/>
      </c>
      <c r="G37" s="24">
        <f>IF(D37="","",IFERROR(INDEX(Mentors!$P$2:$P$151,MATCH(D37,Mentors!$A$2:$A$151,0))&amp;"",""))</f>
        <v/>
      </c>
      <c r="H37" s="32" t="n"/>
      <c r="I37" s="32" t="n"/>
      <c r="J37" s="32" t="n"/>
      <c r="K37" s="24">
        <f>IF(B37="","",COUNT(I37:J37))</f>
        <v/>
      </c>
      <c r="L37" s="24" t="n"/>
      <c r="M37" s="24" t="n"/>
      <c r="N37" s="24" t="n"/>
      <c r="O37" s="24" t="n"/>
    </row>
    <row r="38">
      <c r="A38" s="24" t="inlineStr">
        <is>
          <t>M-037</t>
        </is>
      </c>
      <c r="B38" s="24" t="n"/>
      <c r="C38" s="24">
        <f>IF(B38="","",IFERROR(INDEX(Mentees!$D$2:$D$301,MATCH(B38,Mentees!$A$2:$A$301,0)),"ID not found"))</f>
        <v/>
      </c>
      <c r="D38" s="24" t="n"/>
      <c r="E38" s="24">
        <f>IF(D38="","",IFERROR(INDEX(Mentors!$D$2:$D$151,MATCH(D38,Mentors!$A$2:$A$151,0)),"ID not found"))</f>
        <v/>
      </c>
      <c r="F38" s="24">
        <f>IF(D38="","",IFERROR(INDEX(Mentors!$F$2:$F$151,MATCH(D38,Mentors!$A$2:$A$151,0))&amp;"",""))</f>
        <v/>
      </c>
      <c r="G38" s="24">
        <f>IF(D38="","",IFERROR(INDEX(Mentors!$P$2:$P$151,MATCH(D38,Mentors!$A$2:$A$151,0))&amp;"",""))</f>
        <v/>
      </c>
      <c r="H38" s="32" t="n"/>
      <c r="I38" s="32" t="n"/>
      <c r="J38" s="32" t="n"/>
      <c r="K38" s="24">
        <f>IF(B38="","",COUNT(I38:J38))</f>
        <v/>
      </c>
      <c r="L38" s="24" t="n"/>
      <c r="M38" s="24" t="n"/>
      <c r="N38" s="24" t="n"/>
      <c r="O38" s="24" t="n"/>
    </row>
    <row r="39">
      <c r="A39" s="24" t="inlineStr">
        <is>
          <t>M-038</t>
        </is>
      </c>
      <c r="B39" s="24" t="n"/>
      <c r="C39" s="24">
        <f>IF(B39="","",IFERROR(INDEX(Mentees!$D$2:$D$301,MATCH(B39,Mentees!$A$2:$A$301,0)),"ID not found"))</f>
        <v/>
      </c>
      <c r="D39" s="24" t="n"/>
      <c r="E39" s="24">
        <f>IF(D39="","",IFERROR(INDEX(Mentors!$D$2:$D$151,MATCH(D39,Mentors!$A$2:$A$151,0)),"ID not found"))</f>
        <v/>
      </c>
      <c r="F39" s="24">
        <f>IF(D39="","",IFERROR(INDEX(Mentors!$F$2:$F$151,MATCH(D39,Mentors!$A$2:$A$151,0))&amp;"",""))</f>
        <v/>
      </c>
      <c r="G39" s="24">
        <f>IF(D39="","",IFERROR(INDEX(Mentors!$P$2:$P$151,MATCH(D39,Mentors!$A$2:$A$151,0))&amp;"",""))</f>
        <v/>
      </c>
      <c r="H39" s="32" t="n"/>
      <c r="I39" s="32" t="n"/>
      <c r="J39" s="32" t="n"/>
      <c r="K39" s="24">
        <f>IF(B39="","",COUNT(I39:J39))</f>
        <v/>
      </c>
      <c r="L39" s="24" t="n"/>
      <c r="M39" s="24" t="n"/>
      <c r="N39" s="24" t="n"/>
      <c r="O39" s="24" t="n"/>
    </row>
    <row r="40">
      <c r="A40" s="24" t="inlineStr">
        <is>
          <t>M-039</t>
        </is>
      </c>
      <c r="B40" s="24" t="n"/>
      <c r="C40" s="24">
        <f>IF(B40="","",IFERROR(INDEX(Mentees!$D$2:$D$301,MATCH(B40,Mentees!$A$2:$A$301,0)),"ID not found"))</f>
        <v/>
      </c>
      <c r="D40" s="24" t="n"/>
      <c r="E40" s="24">
        <f>IF(D40="","",IFERROR(INDEX(Mentors!$D$2:$D$151,MATCH(D40,Mentors!$A$2:$A$151,0)),"ID not found"))</f>
        <v/>
      </c>
      <c r="F40" s="24">
        <f>IF(D40="","",IFERROR(INDEX(Mentors!$F$2:$F$151,MATCH(D40,Mentors!$A$2:$A$151,0))&amp;"",""))</f>
        <v/>
      </c>
      <c r="G40" s="24">
        <f>IF(D40="","",IFERROR(INDEX(Mentors!$P$2:$P$151,MATCH(D40,Mentors!$A$2:$A$151,0))&amp;"",""))</f>
        <v/>
      </c>
      <c r="H40" s="32" t="n"/>
      <c r="I40" s="32" t="n"/>
      <c r="J40" s="32" t="n"/>
      <c r="K40" s="24">
        <f>IF(B40="","",COUNT(I40:J40))</f>
        <v/>
      </c>
      <c r="L40" s="24" t="n"/>
      <c r="M40" s="24" t="n"/>
      <c r="N40" s="24" t="n"/>
      <c r="O40" s="24" t="n"/>
    </row>
    <row r="41">
      <c r="A41" s="24" t="inlineStr">
        <is>
          <t>M-040</t>
        </is>
      </c>
      <c r="B41" s="24" t="n"/>
      <c r="C41" s="24">
        <f>IF(B41="","",IFERROR(INDEX(Mentees!$D$2:$D$301,MATCH(B41,Mentees!$A$2:$A$301,0)),"ID not found"))</f>
        <v/>
      </c>
      <c r="D41" s="24" t="n"/>
      <c r="E41" s="24">
        <f>IF(D41="","",IFERROR(INDEX(Mentors!$D$2:$D$151,MATCH(D41,Mentors!$A$2:$A$151,0)),"ID not found"))</f>
        <v/>
      </c>
      <c r="F41" s="24">
        <f>IF(D41="","",IFERROR(INDEX(Mentors!$F$2:$F$151,MATCH(D41,Mentors!$A$2:$A$151,0))&amp;"",""))</f>
        <v/>
      </c>
      <c r="G41" s="24">
        <f>IF(D41="","",IFERROR(INDEX(Mentors!$P$2:$P$151,MATCH(D41,Mentors!$A$2:$A$151,0))&amp;"",""))</f>
        <v/>
      </c>
      <c r="H41" s="32" t="n"/>
      <c r="I41" s="32" t="n"/>
      <c r="J41" s="32" t="n"/>
      <c r="K41" s="24">
        <f>IF(B41="","",COUNT(I41:J41))</f>
        <v/>
      </c>
      <c r="L41" s="24" t="n"/>
      <c r="M41" s="24" t="n"/>
      <c r="N41" s="24" t="n"/>
      <c r="O41" s="24" t="n"/>
    </row>
    <row r="42">
      <c r="A42" s="24" t="inlineStr">
        <is>
          <t>M-041</t>
        </is>
      </c>
      <c r="B42" s="24" t="n"/>
      <c r="C42" s="24">
        <f>IF(B42="","",IFERROR(INDEX(Mentees!$D$2:$D$301,MATCH(B42,Mentees!$A$2:$A$301,0)),"ID not found"))</f>
        <v/>
      </c>
      <c r="D42" s="24" t="n"/>
      <c r="E42" s="24">
        <f>IF(D42="","",IFERROR(INDEX(Mentors!$D$2:$D$151,MATCH(D42,Mentors!$A$2:$A$151,0)),"ID not found"))</f>
        <v/>
      </c>
      <c r="F42" s="24">
        <f>IF(D42="","",IFERROR(INDEX(Mentors!$F$2:$F$151,MATCH(D42,Mentors!$A$2:$A$151,0))&amp;"",""))</f>
        <v/>
      </c>
      <c r="G42" s="24">
        <f>IF(D42="","",IFERROR(INDEX(Mentors!$P$2:$P$151,MATCH(D42,Mentors!$A$2:$A$151,0))&amp;"",""))</f>
        <v/>
      </c>
      <c r="H42" s="32" t="n"/>
      <c r="I42" s="32" t="n"/>
      <c r="J42" s="32" t="n"/>
      <c r="K42" s="24">
        <f>IF(B42="","",COUNT(I42:J42))</f>
        <v/>
      </c>
      <c r="L42" s="24" t="n"/>
      <c r="M42" s="24" t="n"/>
      <c r="N42" s="24" t="n"/>
      <c r="O42" s="24" t="n"/>
    </row>
    <row r="43">
      <c r="A43" s="24" t="inlineStr">
        <is>
          <t>M-042</t>
        </is>
      </c>
      <c r="B43" s="24" t="n"/>
      <c r="C43" s="24">
        <f>IF(B43="","",IFERROR(INDEX(Mentees!$D$2:$D$301,MATCH(B43,Mentees!$A$2:$A$301,0)),"ID not found"))</f>
        <v/>
      </c>
      <c r="D43" s="24" t="n"/>
      <c r="E43" s="24">
        <f>IF(D43="","",IFERROR(INDEX(Mentors!$D$2:$D$151,MATCH(D43,Mentors!$A$2:$A$151,0)),"ID not found"))</f>
        <v/>
      </c>
      <c r="F43" s="24">
        <f>IF(D43="","",IFERROR(INDEX(Mentors!$F$2:$F$151,MATCH(D43,Mentors!$A$2:$A$151,0))&amp;"",""))</f>
        <v/>
      </c>
      <c r="G43" s="24">
        <f>IF(D43="","",IFERROR(INDEX(Mentors!$P$2:$P$151,MATCH(D43,Mentors!$A$2:$A$151,0))&amp;"",""))</f>
        <v/>
      </c>
      <c r="H43" s="32" t="n"/>
      <c r="I43" s="32" t="n"/>
      <c r="J43" s="32" t="n"/>
      <c r="K43" s="24">
        <f>IF(B43="","",COUNT(I43:J43))</f>
        <v/>
      </c>
      <c r="L43" s="24" t="n"/>
      <c r="M43" s="24" t="n"/>
      <c r="N43" s="24" t="n"/>
      <c r="O43" s="24" t="n"/>
    </row>
    <row r="44">
      <c r="A44" s="24" t="inlineStr">
        <is>
          <t>M-043</t>
        </is>
      </c>
      <c r="B44" s="24" t="n"/>
      <c r="C44" s="24">
        <f>IF(B44="","",IFERROR(INDEX(Mentees!$D$2:$D$301,MATCH(B44,Mentees!$A$2:$A$301,0)),"ID not found"))</f>
        <v/>
      </c>
      <c r="D44" s="24" t="n"/>
      <c r="E44" s="24">
        <f>IF(D44="","",IFERROR(INDEX(Mentors!$D$2:$D$151,MATCH(D44,Mentors!$A$2:$A$151,0)),"ID not found"))</f>
        <v/>
      </c>
      <c r="F44" s="24">
        <f>IF(D44="","",IFERROR(INDEX(Mentors!$F$2:$F$151,MATCH(D44,Mentors!$A$2:$A$151,0))&amp;"",""))</f>
        <v/>
      </c>
      <c r="G44" s="24">
        <f>IF(D44="","",IFERROR(INDEX(Mentors!$P$2:$P$151,MATCH(D44,Mentors!$A$2:$A$151,0))&amp;"",""))</f>
        <v/>
      </c>
      <c r="H44" s="32" t="n"/>
      <c r="I44" s="32" t="n"/>
      <c r="J44" s="32" t="n"/>
      <c r="K44" s="24">
        <f>IF(B44="","",COUNT(I44:J44))</f>
        <v/>
      </c>
      <c r="L44" s="24" t="n"/>
      <c r="M44" s="24" t="n"/>
      <c r="N44" s="24" t="n"/>
      <c r="O44" s="24" t="n"/>
    </row>
    <row r="45">
      <c r="A45" s="24" t="inlineStr">
        <is>
          <t>M-044</t>
        </is>
      </c>
      <c r="B45" s="24" t="n"/>
      <c r="C45" s="24">
        <f>IF(B45="","",IFERROR(INDEX(Mentees!$D$2:$D$301,MATCH(B45,Mentees!$A$2:$A$301,0)),"ID not found"))</f>
        <v/>
      </c>
      <c r="D45" s="24" t="n"/>
      <c r="E45" s="24">
        <f>IF(D45="","",IFERROR(INDEX(Mentors!$D$2:$D$151,MATCH(D45,Mentors!$A$2:$A$151,0)),"ID not found"))</f>
        <v/>
      </c>
      <c r="F45" s="24">
        <f>IF(D45="","",IFERROR(INDEX(Mentors!$F$2:$F$151,MATCH(D45,Mentors!$A$2:$A$151,0))&amp;"",""))</f>
        <v/>
      </c>
      <c r="G45" s="24">
        <f>IF(D45="","",IFERROR(INDEX(Mentors!$P$2:$P$151,MATCH(D45,Mentors!$A$2:$A$151,0))&amp;"",""))</f>
        <v/>
      </c>
      <c r="H45" s="32" t="n"/>
      <c r="I45" s="32" t="n"/>
      <c r="J45" s="32" t="n"/>
      <c r="K45" s="24">
        <f>IF(B45="","",COUNT(I45:J45))</f>
        <v/>
      </c>
      <c r="L45" s="24" t="n"/>
      <c r="M45" s="24" t="n"/>
      <c r="N45" s="24" t="n"/>
      <c r="O45" s="24" t="n"/>
    </row>
    <row r="46">
      <c r="A46" s="24" t="inlineStr">
        <is>
          <t>M-045</t>
        </is>
      </c>
      <c r="B46" s="24" t="n"/>
      <c r="C46" s="24">
        <f>IF(B46="","",IFERROR(INDEX(Mentees!$D$2:$D$301,MATCH(B46,Mentees!$A$2:$A$301,0)),"ID not found"))</f>
        <v/>
      </c>
      <c r="D46" s="24" t="n"/>
      <c r="E46" s="24">
        <f>IF(D46="","",IFERROR(INDEX(Mentors!$D$2:$D$151,MATCH(D46,Mentors!$A$2:$A$151,0)),"ID not found"))</f>
        <v/>
      </c>
      <c r="F46" s="24">
        <f>IF(D46="","",IFERROR(INDEX(Mentors!$F$2:$F$151,MATCH(D46,Mentors!$A$2:$A$151,0))&amp;"",""))</f>
        <v/>
      </c>
      <c r="G46" s="24">
        <f>IF(D46="","",IFERROR(INDEX(Mentors!$P$2:$P$151,MATCH(D46,Mentors!$A$2:$A$151,0))&amp;"",""))</f>
        <v/>
      </c>
      <c r="H46" s="32" t="n"/>
      <c r="I46" s="32" t="n"/>
      <c r="J46" s="32" t="n"/>
      <c r="K46" s="24">
        <f>IF(B46="","",COUNT(I46:J46))</f>
        <v/>
      </c>
      <c r="L46" s="24" t="n"/>
      <c r="M46" s="24" t="n"/>
      <c r="N46" s="24" t="n"/>
      <c r="O46" s="24" t="n"/>
    </row>
    <row r="47">
      <c r="A47" s="24" t="inlineStr">
        <is>
          <t>M-046</t>
        </is>
      </c>
      <c r="B47" s="24" t="n"/>
      <c r="C47" s="24">
        <f>IF(B47="","",IFERROR(INDEX(Mentees!$D$2:$D$301,MATCH(B47,Mentees!$A$2:$A$301,0)),"ID not found"))</f>
        <v/>
      </c>
      <c r="D47" s="24" t="n"/>
      <c r="E47" s="24">
        <f>IF(D47="","",IFERROR(INDEX(Mentors!$D$2:$D$151,MATCH(D47,Mentors!$A$2:$A$151,0)),"ID not found"))</f>
        <v/>
      </c>
      <c r="F47" s="24">
        <f>IF(D47="","",IFERROR(INDEX(Mentors!$F$2:$F$151,MATCH(D47,Mentors!$A$2:$A$151,0))&amp;"",""))</f>
        <v/>
      </c>
      <c r="G47" s="24">
        <f>IF(D47="","",IFERROR(INDEX(Mentors!$P$2:$P$151,MATCH(D47,Mentors!$A$2:$A$151,0))&amp;"",""))</f>
        <v/>
      </c>
      <c r="H47" s="32" t="n"/>
      <c r="I47" s="32" t="n"/>
      <c r="J47" s="32" t="n"/>
      <c r="K47" s="24">
        <f>IF(B47="","",COUNT(I47:J47))</f>
        <v/>
      </c>
      <c r="L47" s="24" t="n"/>
      <c r="M47" s="24" t="n"/>
      <c r="N47" s="24" t="n"/>
      <c r="O47" s="24" t="n"/>
    </row>
    <row r="48">
      <c r="A48" s="24" t="inlineStr">
        <is>
          <t>M-047</t>
        </is>
      </c>
      <c r="B48" s="24" t="n"/>
      <c r="C48" s="24">
        <f>IF(B48="","",IFERROR(INDEX(Mentees!$D$2:$D$301,MATCH(B48,Mentees!$A$2:$A$301,0)),"ID not found"))</f>
        <v/>
      </c>
      <c r="D48" s="24" t="n"/>
      <c r="E48" s="24">
        <f>IF(D48="","",IFERROR(INDEX(Mentors!$D$2:$D$151,MATCH(D48,Mentors!$A$2:$A$151,0)),"ID not found"))</f>
        <v/>
      </c>
      <c r="F48" s="24">
        <f>IF(D48="","",IFERROR(INDEX(Mentors!$F$2:$F$151,MATCH(D48,Mentors!$A$2:$A$151,0))&amp;"",""))</f>
        <v/>
      </c>
      <c r="G48" s="24">
        <f>IF(D48="","",IFERROR(INDEX(Mentors!$P$2:$P$151,MATCH(D48,Mentors!$A$2:$A$151,0))&amp;"",""))</f>
        <v/>
      </c>
      <c r="H48" s="32" t="n"/>
      <c r="I48" s="32" t="n"/>
      <c r="J48" s="32" t="n"/>
      <c r="K48" s="24">
        <f>IF(B48="","",COUNT(I48:J48))</f>
        <v/>
      </c>
      <c r="L48" s="24" t="n"/>
      <c r="M48" s="24" t="n"/>
      <c r="N48" s="24" t="n"/>
      <c r="O48" s="24" t="n"/>
    </row>
    <row r="49">
      <c r="A49" s="24" t="inlineStr">
        <is>
          <t>M-048</t>
        </is>
      </c>
      <c r="B49" s="24" t="n"/>
      <c r="C49" s="24">
        <f>IF(B49="","",IFERROR(INDEX(Mentees!$D$2:$D$301,MATCH(B49,Mentees!$A$2:$A$301,0)),"ID not found"))</f>
        <v/>
      </c>
      <c r="D49" s="24" t="n"/>
      <c r="E49" s="24">
        <f>IF(D49="","",IFERROR(INDEX(Mentors!$D$2:$D$151,MATCH(D49,Mentors!$A$2:$A$151,0)),"ID not found"))</f>
        <v/>
      </c>
      <c r="F49" s="24">
        <f>IF(D49="","",IFERROR(INDEX(Mentors!$F$2:$F$151,MATCH(D49,Mentors!$A$2:$A$151,0))&amp;"",""))</f>
        <v/>
      </c>
      <c r="G49" s="24">
        <f>IF(D49="","",IFERROR(INDEX(Mentors!$P$2:$P$151,MATCH(D49,Mentors!$A$2:$A$151,0))&amp;"",""))</f>
        <v/>
      </c>
      <c r="H49" s="32" t="n"/>
      <c r="I49" s="32" t="n"/>
      <c r="J49" s="32" t="n"/>
      <c r="K49" s="24">
        <f>IF(B49="","",COUNT(I49:J49))</f>
        <v/>
      </c>
      <c r="L49" s="24" t="n"/>
      <c r="M49" s="24" t="n"/>
      <c r="N49" s="24" t="n"/>
      <c r="O49" s="24" t="n"/>
    </row>
    <row r="50">
      <c r="A50" s="24" t="inlineStr">
        <is>
          <t>M-049</t>
        </is>
      </c>
      <c r="B50" s="24" t="n"/>
      <c r="C50" s="24">
        <f>IF(B50="","",IFERROR(INDEX(Mentees!$D$2:$D$301,MATCH(B50,Mentees!$A$2:$A$301,0)),"ID not found"))</f>
        <v/>
      </c>
      <c r="D50" s="24" t="n"/>
      <c r="E50" s="24">
        <f>IF(D50="","",IFERROR(INDEX(Mentors!$D$2:$D$151,MATCH(D50,Mentors!$A$2:$A$151,0)),"ID not found"))</f>
        <v/>
      </c>
      <c r="F50" s="24">
        <f>IF(D50="","",IFERROR(INDEX(Mentors!$F$2:$F$151,MATCH(D50,Mentors!$A$2:$A$151,0))&amp;"",""))</f>
        <v/>
      </c>
      <c r="G50" s="24">
        <f>IF(D50="","",IFERROR(INDEX(Mentors!$P$2:$P$151,MATCH(D50,Mentors!$A$2:$A$151,0))&amp;"",""))</f>
        <v/>
      </c>
      <c r="H50" s="32" t="n"/>
      <c r="I50" s="32" t="n"/>
      <c r="J50" s="32" t="n"/>
      <c r="K50" s="24">
        <f>IF(B50="","",COUNT(I50:J50))</f>
        <v/>
      </c>
      <c r="L50" s="24" t="n"/>
      <c r="M50" s="24" t="n"/>
      <c r="N50" s="24" t="n"/>
      <c r="O50" s="24" t="n"/>
    </row>
    <row r="51">
      <c r="A51" s="24" t="inlineStr">
        <is>
          <t>M-050</t>
        </is>
      </c>
      <c r="B51" s="24" t="n"/>
      <c r="C51" s="24">
        <f>IF(B51="","",IFERROR(INDEX(Mentees!$D$2:$D$301,MATCH(B51,Mentees!$A$2:$A$301,0)),"ID not found"))</f>
        <v/>
      </c>
      <c r="D51" s="24" t="n"/>
      <c r="E51" s="24">
        <f>IF(D51="","",IFERROR(INDEX(Mentors!$D$2:$D$151,MATCH(D51,Mentors!$A$2:$A$151,0)),"ID not found"))</f>
        <v/>
      </c>
      <c r="F51" s="24">
        <f>IF(D51="","",IFERROR(INDEX(Mentors!$F$2:$F$151,MATCH(D51,Mentors!$A$2:$A$151,0))&amp;"",""))</f>
        <v/>
      </c>
      <c r="G51" s="24">
        <f>IF(D51="","",IFERROR(INDEX(Mentors!$P$2:$P$151,MATCH(D51,Mentors!$A$2:$A$151,0))&amp;"",""))</f>
        <v/>
      </c>
      <c r="H51" s="32" t="n"/>
      <c r="I51" s="32" t="n"/>
      <c r="J51" s="32" t="n"/>
      <c r="K51" s="24">
        <f>IF(B51="","",COUNT(I51:J51))</f>
        <v/>
      </c>
      <c r="L51" s="24" t="n"/>
      <c r="M51" s="24" t="n"/>
      <c r="N51" s="24" t="n"/>
      <c r="O51" s="24" t="n"/>
    </row>
    <row r="52">
      <c r="A52" s="24" t="inlineStr">
        <is>
          <t>M-051</t>
        </is>
      </c>
      <c r="B52" s="24" t="n"/>
      <c r="C52" s="24">
        <f>IF(B52="","",IFERROR(INDEX(Mentees!$D$2:$D$301,MATCH(B52,Mentees!$A$2:$A$301,0)),"ID not found"))</f>
        <v/>
      </c>
      <c r="D52" s="24" t="n"/>
      <c r="E52" s="24">
        <f>IF(D52="","",IFERROR(INDEX(Mentors!$D$2:$D$151,MATCH(D52,Mentors!$A$2:$A$151,0)),"ID not found"))</f>
        <v/>
      </c>
      <c r="F52" s="24">
        <f>IF(D52="","",IFERROR(INDEX(Mentors!$F$2:$F$151,MATCH(D52,Mentors!$A$2:$A$151,0))&amp;"",""))</f>
        <v/>
      </c>
      <c r="G52" s="24">
        <f>IF(D52="","",IFERROR(INDEX(Mentors!$P$2:$P$151,MATCH(D52,Mentors!$A$2:$A$151,0))&amp;"",""))</f>
        <v/>
      </c>
      <c r="H52" s="32" t="n"/>
      <c r="I52" s="32" t="n"/>
      <c r="J52" s="32" t="n"/>
      <c r="K52" s="24">
        <f>IF(B52="","",COUNT(I52:J52))</f>
        <v/>
      </c>
      <c r="L52" s="24" t="n"/>
      <c r="M52" s="24" t="n"/>
      <c r="N52" s="24" t="n"/>
      <c r="O52" s="24" t="n"/>
    </row>
    <row r="53">
      <c r="A53" s="24" t="inlineStr">
        <is>
          <t>M-052</t>
        </is>
      </c>
      <c r="B53" s="24" t="n"/>
      <c r="C53" s="24">
        <f>IF(B53="","",IFERROR(INDEX(Mentees!$D$2:$D$301,MATCH(B53,Mentees!$A$2:$A$301,0)),"ID not found"))</f>
        <v/>
      </c>
      <c r="D53" s="24" t="n"/>
      <c r="E53" s="24">
        <f>IF(D53="","",IFERROR(INDEX(Mentors!$D$2:$D$151,MATCH(D53,Mentors!$A$2:$A$151,0)),"ID not found"))</f>
        <v/>
      </c>
      <c r="F53" s="24">
        <f>IF(D53="","",IFERROR(INDEX(Mentors!$F$2:$F$151,MATCH(D53,Mentors!$A$2:$A$151,0))&amp;"",""))</f>
        <v/>
      </c>
      <c r="G53" s="24">
        <f>IF(D53="","",IFERROR(INDEX(Mentors!$P$2:$P$151,MATCH(D53,Mentors!$A$2:$A$151,0))&amp;"",""))</f>
        <v/>
      </c>
      <c r="H53" s="32" t="n"/>
      <c r="I53" s="32" t="n"/>
      <c r="J53" s="32" t="n"/>
      <c r="K53" s="24">
        <f>IF(B53="","",COUNT(I53:J53))</f>
        <v/>
      </c>
      <c r="L53" s="24" t="n"/>
      <c r="M53" s="24" t="n"/>
      <c r="N53" s="24" t="n"/>
      <c r="O53" s="24" t="n"/>
    </row>
    <row r="54">
      <c r="A54" s="24" t="inlineStr">
        <is>
          <t>M-053</t>
        </is>
      </c>
      <c r="B54" s="24" t="n"/>
      <c r="C54" s="24">
        <f>IF(B54="","",IFERROR(INDEX(Mentees!$D$2:$D$301,MATCH(B54,Mentees!$A$2:$A$301,0)),"ID not found"))</f>
        <v/>
      </c>
      <c r="D54" s="24" t="n"/>
      <c r="E54" s="24">
        <f>IF(D54="","",IFERROR(INDEX(Mentors!$D$2:$D$151,MATCH(D54,Mentors!$A$2:$A$151,0)),"ID not found"))</f>
        <v/>
      </c>
      <c r="F54" s="24">
        <f>IF(D54="","",IFERROR(INDEX(Mentors!$F$2:$F$151,MATCH(D54,Mentors!$A$2:$A$151,0))&amp;"",""))</f>
        <v/>
      </c>
      <c r="G54" s="24">
        <f>IF(D54="","",IFERROR(INDEX(Mentors!$P$2:$P$151,MATCH(D54,Mentors!$A$2:$A$151,0))&amp;"",""))</f>
        <v/>
      </c>
      <c r="H54" s="32" t="n"/>
      <c r="I54" s="32" t="n"/>
      <c r="J54" s="32" t="n"/>
      <c r="K54" s="24">
        <f>IF(B54="","",COUNT(I54:J54))</f>
        <v/>
      </c>
      <c r="L54" s="24" t="n"/>
      <c r="M54" s="24" t="n"/>
      <c r="N54" s="24" t="n"/>
      <c r="O54" s="24" t="n"/>
    </row>
    <row r="55">
      <c r="A55" s="24" t="inlineStr">
        <is>
          <t>M-054</t>
        </is>
      </c>
      <c r="B55" s="24" t="n"/>
      <c r="C55" s="24">
        <f>IF(B55="","",IFERROR(INDEX(Mentees!$D$2:$D$301,MATCH(B55,Mentees!$A$2:$A$301,0)),"ID not found"))</f>
        <v/>
      </c>
      <c r="D55" s="24" t="n"/>
      <c r="E55" s="24">
        <f>IF(D55="","",IFERROR(INDEX(Mentors!$D$2:$D$151,MATCH(D55,Mentors!$A$2:$A$151,0)),"ID not found"))</f>
        <v/>
      </c>
      <c r="F55" s="24">
        <f>IF(D55="","",IFERROR(INDEX(Mentors!$F$2:$F$151,MATCH(D55,Mentors!$A$2:$A$151,0))&amp;"",""))</f>
        <v/>
      </c>
      <c r="G55" s="24">
        <f>IF(D55="","",IFERROR(INDEX(Mentors!$P$2:$P$151,MATCH(D55,Mentors!$A$2:$A$151,0))&amp;"",""))</f>
        <v/>
      </c>
      <c r="H55" s="32" t="n"/>
      <c r="I55" s="32" t="n"/>
      <c r="J55" s="32" t="n"/>
      <c r="K55" s="24">
        <f>IF(B55="","",COUNT(I55:J55))</f>
        <v/>
      </c>
      <c r="L55" s="24" t="n"/>
      <c r="M55" s="24" t="n"/>
      <c r="N55" s="24" t="n"/>
      <c r="O55" s="24" t="n"/>
    </row>
    <row r="56">
      <c r="A56" s="24" t="inlineStr">
        <is>
          <t>M-055</t>
        </is>
      </c>
      <c r="B56" s="24" t="n"/>
      <c r="C56" s="24">
        <f>IF(B56="","",IFERROR(INDEX(Mentees!$D$2:$D$301,MATCH(B56,Mentees!$A$2:$A$301,0)),"ID not found"))</f>
        <v/>
      </c>
      <c r="D56" s="24" t="n"/>
      <c r="E56" s="24">
        <f>IF(D56="","",IFERROR(INDEX(Mentors!$D$2:$D$151,MATCH(D56,Mentors!$A$2:$A$151,0)),"ID not found"))</f>
        <v/>
      </c>
      <c r="F56" s="24">
        <f>IF(D56="","",IFERROR(INDEX(Mentors!$F$2:$F$151,MATCH(D56,Mentors!$A$2:$A$151,0))&amp;"",""))</f>
        <v/>
      </c>
      <c r="G56" s="24">
        <f>IF(D56="","",IFERROR(INDEX(Mentors!$P$2:$P$151,MATCH(D56,Mentors!$A$2:$A$151,0))&amp;"",""))</f>
        <v/>
      </c>
      <c r="H56" s="32" t="n"/>
      <c r="I56" s="32" t="n"/>
      <c r="J56" s="32" t="n"/>
      <c r="K56" s="24">
        <f>IF(B56="","",COUNT(I56:J56))</f>
        <v/>
      </c>
      <c r="L56" s="24" t="n"/>
      <c r="M56" s="24" t="n"/>
      <c r="N56" s="24" t="n"/>
      <c r="O56" s="24" t="n"/>
    </row>
    <row r="57">
      <c r="A57" s="24" t="inlineStr">
        <is>
          <t>M-056</t>
        </is>
      </c>
      <c r="B57" s="24" t="n"/>
      <c r="C57" s="24">
        <f>IF(B57="","",IFERROR(INDEX(Mentees!$D$2:$D$301,MATCH(B57,Mentees!$A$2:$A$301,0)),"ID not found"))</f>
        <v/>
      </c>
      <c r="D57" s="24" t="n"/>
      <c r="E57" s="24">
        <f>IF(D57="","",IFERROR(INDEX(Mentors!$D$2:$D$151,MATCH(D57,Mentors!$A$2:$A$151,0)),"ID not found"))</f>
        <v/>
      </c>
      <c r="F57" s="24">
        <f>IF(D57="","",IFERROR(INDEX(Mentors!$F$2:$F$151,MATCH(D57,Mentors!$A$2:$A$151,0))&amp;"",""))</f>
        <v/>
      </c>
      <c r="G57" s="24">
        <f>IF(D57="","",IFERROR(INDEX(Mentors!$P$2:$P$151,MATCH(D57,Mentors!$A$2:$A$151,0))&amp;"",""))</f>
        <v/>
      </c>
      <c r="H57" s="32" t="n"/>
      <c r="I57" s="32" t="n"/>
      <c r="J57" s="32" t="n"/>
      <c r="K57" s="24">
        <f>IF(B57="","",COUNT(I57:J57))</f>
        <v/>
      </c>
      <c r="L57" s="24" t="n"/>
      <c r="M57" s="24" t="n"/>
      <c r="N57" s="24" t="n"/>
      <c r="O57" s="24" t="n"/>
    </row>
    <row r="58">
      <c r="A58" s="24" t="inlineStr">
        <is>
          <t>M-057</t>
        </is>
      </c>
      <c r="B58" s="24" t="n"/>
      <c r="C58" s="24">
        <f>IF(B58="","",IFERROR(INDEX(Mentees!$D$2:$D$301,MATCH(B58,Mentees!$A$2:$A$301,0)),"ID not found"))</f>
        <v/>
      </c>
      <c r="D58" s="24" t="n"/>
      <c r="E58" s="24">
        <f>IF(D58="","",IFERROR(INDEX(Mentors!$D$2:$D$151,MATCH(D58,Mentors!$A$2:$A$151,0)),"ID not found"))</f>
        <v/>
      </c>
      <c r="F58" s="24">
        <f>IF(D58="","",IFERROR(INDEX(Mentors!$F$2:$F$151,MATCH(D58,Mentors!$A$2:$A$151,0))&amp;"",""))</f>
        <v/>
      </c>
      <c r="G58" s="24">
        <f>IF(D58="","",IFERROR(INDEX(Mentors!$P$2:$P$151,MATCH(D58,Mentors!$A$2:$A$151,0))&amp;"",""))</f>
        <v/>
      </c>
      <c r="H58" s="32" t="n"/>
      <c r="I58" s="32" t="n"/>
      <c r="J58" s="32" t="n"/>
      <c r="K58" s="24">
        <f>IF(B58="","",COUNT(I58:J58))</f>
        <v/>
      </c>
      <c r="L58" s="24" t="n"/>
      <c r="M58" s="24" t="n"/>
      <c r="N58" s="24" t="n"/>
      <c r="O58" s="24" t="n"/>
    </row>
    <row r="59">
      <c r="A59" s="24" t="inlineStr">
        <is>
          <t>M-058</t>
        </is>
      </c>
      <c r="B59" s="24" t="n"/>
      <c r="C59" s="24">
        <f>IF(B59="","",IFERROR(INDEX(Mentees!$D$2:$D$301,MATCH(B59,Mentees!$A$2:$A$301,0)),"ID not found"))</f>
        <v/>
      </c>
      <c r="D59" s="24" t="n"/>
      <c r="E59" s="24">
        <f>IF(D59="","",IFERROR(INDEX(Mentors!$D$2:$D$151,MATCH(D59,Mentors!$A$2:$A$151,0)),"ID not found"))</f>
        <v/>
      </c>
      <c r="F59" s="24">
        <f>IF(D59="","",IFERROR(INDEX(Mentors!$F$2:$F$151,MATCH(D59,Mentors!$A$2:$A$151,0))&amp;"",""))</f>
        <v/>
      </c>
      <c r="G59" s="24">
        <f>IF(D59="","",IFERROR(INDEX(Mentors!$P$2:$P$151,MATCH(D59,Mentors!$A$2:$A$151,0))&amp;"",""))</f>
        <v/>
      </c>
      <c r="H59" s="32" t="n"/>
      <c r="I59" s="32" t="n"/>
      <c r="J59" s="32" t="n"/>
      <c r="K59" s="24">
        <f>IF(B59="","",COUNT(I59:J59))</f>
        <v/>
      </c>
      <c r="L59" s="24" t="n"/>
      <c r="M59" s="24" t="n"/>
      <c r="N59" s="24" t="n"/>
      <c r="O59" s="24" t="n"/>
    </row>
    <row r="60">
      <c r="A60" s="24" t="inlineStr">
        <is>
          <t>M-059</t>
        </is>
      </c>
      <c r="B60" s="24" t="n"/>
      <c r="C60" s="24">
        <f>IF(B60="","",IFERROR(INDEX(Mentees!$D$2:$D$301,MATCH(B60,Mentees!$A$2:$A$301,0)),"ID not found"))</f>
        <v/>
      </c>
      <c r="D60" s="24" t="n"/>
      <c r="E60" s="24">
        <f>IF(D60="","",IFERROR(INDEX(Mentors!$D$2:$D$151,MATCH(D60,Mentors!$A$2:$A$151,0)),"ID not found"))</f>
        <v/>
      </c>
      <c r="F60" s="24">
        <f>IF(D60="","",IFERROR(INDEX(Mentors!$F$2:$F$151,MATCH(D60,Mentors!$A$2:$A$151,0))&amp;"",""))</f>
        <v/>
      </c>
      <c r="G60" s="24">
        <f>IF(D60="","",IFERROR(INDEX(Mentors!$P$2:$P$151,MATCH(D60,Mentors!$A$2:$A$151,0))&amp;"",""))</f>
        <v/>
      </c>
      <c r="H60" s="32" t="n"/>
      <c r="I60" s="32" t="n"/>
      <c r="J60" s="32" t="n"/>
      <c r="K60" s="24">
        <f>IF(B60="","",COUNT(I60:J60))</f>
        <v/>
      </c>
      <c r="L60" s="24" t="n"/>
      <c r="M60" s="24" t="n"/>
      <c r="N60" s="24" t="n"/>
      <c r="O60" s="24" t="n"/>
    </row>
    <row r="61">
      <c r="A61" s="24" t="inlineStr">
        <is>
          <t>M-060</t>
        </is>
      </c>
      <c r="B61" s="24" t="n"/>
      <c r="C61" s="24">
        <f>IF(B61="","",IFERROR(INDEX(Mentees!$D$2:$D$301,MATCH(B61,Mentees!$A$2:$A$301,0)),"ID not found"))</f>
        <v/>
      </c>
      <c r="D61" s="24" t="n"/>
      <c r="E61" s="24">
        <f>IF(D61="","",IFERROR(INDEX(Mentors!$D$2:$D$151,MATCH(D61,Mentors!$A$2:$A$151,0)),"ID not found"))</f>
        <v/>
      </c>
      <c r="F61" s="24">
        <f>IF(D61="","",IFERROR(INDEX(Mentors!$F$2:$F$151,MATCH(D61,Mentors!$A$2:$A$151,0))&amp;"",""))</f>
        <v/>
      </c>
      <c r="G61" s="24">
        <f>IF(D61="","",IFERROR(INDEX(Mentors!$P$2:$P$151,MATCH(D61,Mentors!$A$2:$A$151,0))&amp;"",""))</f>
        <v/>
      </c>
      <c r="H61" s="32" t="n"/>
      <c r="I61" s="32" t="n"/>
      <c r="J61" s="32" t="n"/>
      <c r="K61" s="24">
        <f>IF(B61="","",COUNT(I61:J61))</f>
        <v/>
      </c>
      <c r="L61" s="24" t="n"/>
      <c r="M61" s="24" t="n"/>
      <c r="N61" s="24" t="n"/>
      <c r="O61" s="24" t="n"/>
    </row>
    <row r="62">
      <c r="A62" s="24" t="inlineStr">
        <is>
          <t>M-061</t>
        </is>
      </c>
      <c r="B62" s="24" t="n"/>
      <c r="C62" s="24">
        <f>IF(B62="","",IFERROR(INDEX(Mentees!$D$2:$D$301,MATCH(B62,Mentees!$A$2:$A$301,0)),"ID not found"))</f>
        <v/>
      </c>
      <c r="D62" s="24" t="n"/>
      <c r="E62" s="24">
        <f>IF(D62="","",IFERROR(INDEX(Mentors!$D$2:$D$151,MATCH(D62,Mentors!$A$2:$A$151,0)),"ID not found"))</f>
        <v/>
      </c>
      <c r="F62" s="24">
        <f>IF(D62="","",IFERROR(INDEX(Mentors!$F$2:$F$151,MATCH(D62,Mentors!$A$2:$A$151,0))&amp;"",""))</f>
        <v/>
      </c>
      <c r="G62" s="24">
        <f>IF(D62="","",IFERROR(INDEX(Mentors!$P$2:$P$151,MATCH(D62,Mentors!$A$2:$A$151,0))&amp;"",""))</f>
        <v/>
      </c>
      <c r="H62" s="32" t="n"/>
      <c r="I62" s="32" t="n"/>
      <c r="J62" s="32" t="n"/>
      <c r="K62" s="24">
        <f>IF(B62="","",COUNT(I62:J62))</f>
        <v/>
      </c>
      <c r="L62" s="24" t="n"/>
      <c r="M62" s="24" t="n"/>
      <c r="N62" s="24" t="n"/>
      <c r="O62" s="24" t="n"/>
    </row>
    <row r="63">
      <c r="A63" s="24" t="inlineStr">
        <is>
          <t>M-062</t>
        </is>
      </c>
      <c r="B63" s="24" t="n"/>
      <c r="C63" s="24">
        <f>IF(B63="","",IFERROR(INDEX(Mentees!$D$2:$D$301,MATCH(B63,Mentees!$A$2:$A$301,0)),"ID not found"))</f>
        <v/>
      </c>
      <c r="D63" s="24" t="n"/>
      <c r="E63" s="24">
        <f>IF(D63="","",IFERROR(INDEX(Mentors!$D$2:$D$151,MATCH(D63,Mentors!$A$2:$A$151,0)),"ID not found"))</f>
        <v/>
      </c>
      <c r="F63" s="24">
        <f>IF(D63="","",IFERROR(INDEX(Mentors!$F$2:$F$151,MATCH(D63,Mentors!$A$2:$A$151,0))&amp;"",""))</f>
        <v/>
      </c>
      <c r="G63" s="24">
        <f>IF(D63="","",IFERROR(INDEX(Mentors!$P$2:$P$151,MATCH(D63,Mentors!$A$2:$A$151,0))&amp;"",""))</f>
        <v/>
      </c>
      <c r="H63" s="32" t="n"/>
      <c r="I63" s="32" t="n"/>
      <c r="J63" s="32" t="n"/>
      <c r="K63" s="24">
        <f>IF(B63="","",COUNT(I63:J63))</f>
        <v/>
      </c>
      <c r="L63" s="24" t="n"/>
      <c r="M63" s="24" t="n"/>
      <c r="N63" s="24" t="n"/>
      <c r="O63" s="24" t="n"/>
    </row>
    <row r="64">
      <c r="A64" s="24" t="inlineStr">
        <is>
          <t>M-063</t>
        </is>
      </c>
      <c r="B64" s="24" t="n"/>
      <c r="C64" s="24">
        <f>IF(B64="","",IFERROR(INDEX(Mentees!$D$2:$D$301,MATCH(B64,Mentees!$A$2:$A$301,0)),"ID not found"))</f>
        <v/>
      </c>
      <c r="D64" s="24" t="n"/>
      <c r="E64" s="24">
        <f>IF(D64="","",IFERROR(INDEX(Mentors!$D$2:$D$151,MATCH(D64,Mentors!$A$2:$A$151,0)),"ID not found"))</f>
        <v/>
      </c>
      <c r="F64" s="24">
        <f>IF(D64="","",IFERROR(INDEX(Mentors!$F$2:$F$151,MATCH(D64,Mentors!$A$2:$A$151,0))&amp;"",""))</f>
        <v/>
      </c>
      <c r="G64" s="24">
        <f>IF(D64="","",IFERROR(INDEX(Mentors!$P$2:$P$151,MATCH(D64,Mentors!$A$2:$A$151,0))&amp;"",""))</f>
        <v/>
      </c>
      <c r="H64" s="32" t="n"/>
      <c r="I64" s="32" t="n"/>
      <c r="J64" s="32" t="n"/>
      <c r="K64" s="24">
        <f>IF(B64="","",COUNT(I64:J64))</f>
        <v/>
      </c>
      <c r="L64" s="24" t="n"/>
      <c r="M64" s="24" t="n"/>
      <c r="N64" s="24" t="n"/>
      <c r="O64" s="24" t="n"/>
    </row>
    <row r="65">
      <c r="A65" s="24" t="inlineStr">
        <is>
          <t>M-064</t>
        </is>
      </c>
      <c r="B65" s="24" t="n"/>
      <c r="C65" s="24">
        <f>IF(B65="","",IFERROR(INDEX(Mentees!$D$2:$D$301,MATCH(B65,Mentees!$A$2:$A$301,0)),"ID not found"))</f>
        <v/>
      </c>
      <c r="D65" s="24" t="n"/>
      <c r="E65" s="24">
        <f>IF(D65="","",IFERROR(INDEX(Mentors!$D$2:$D$151,MATCH(D65,Mentors!$A$2:$A$151,0)),"ID not found"))</f>
        <v/>
      </c>
      <c r="F65" s="24">
        <f>IF(D65="","",IFERROR(INDEX(Mentors!$F$2:$F$151,MATCH(D65,Mentors!$A$2:$A$151,0))&amp;"",""))</f>
        <v/>
      </c>
      <c r="G65" s="24">
        <f>IF(D65="","",IFERROR(INDEX(Mentors!$P$2:$P$151,MATCH(D65,Mentors!$A$2:$A$151,0))&amp;"",""))</f>
        <v/>
      </c>
      <c r="H65" s="32" t="n"/>
      <c r="I65" s="32" t="n"/>
      <c r="J65" s="32" t="n"/>
      <c r="K65" s="24">
        <f>IF(B65="","",COUNT(I65:J65))</f>
        <v/>
      </c>
      <c r="L65" s="24" t="n"/>
      <c r="M65" s="24" t="n"/>
      <c r="N65" s="24" t="n"/>
      <c r="O65" s="24" t="n"/>
    </row>
    <row r="66">
      <c r="A66" s="24" t="inlineStr">
        <is>
          <t>M-065</t>
        </is>
      </c>
      <c r="B66" s="24" t="n"/>
      <c r="C66" s="24">
        <f>IF(B66="","",IFERROR(INDEX(Mentees!$D$2:$D$301,MATCH(B66,Mentees!$A$2:$A$301,0)),"ID not found"))</f>
        <v/>
      </c>
      <c r="D66" s="24" t="n"/>
      <c r="E66" s="24">
        <f>IF(D66="","",IFERROR(INDEX(Mentors!$D$2:$D$151,MATCH(D66,Mentors!$A$2:$A$151,0)),"ID not found"))</f>
        <v/>
      </c>
      <c r="F66" s="24">
        <f>IF(D66="","",IFERROR(INDEX(Mentors!$F$2:$F$151,MATCH(D66,Mentors!$A$2:$A$151,0))&amp;"",""))</f>
        <v/>
      </c>
      <c r="G66" s="24">
        <f>IF(D66="","",IFERROR(INDEX(Mentors!$P$2:$P$151,MATCH(D66,Mentors!$A$2:$A$151,0))&amp;"",""))</f>
        <v/>
      </c>
      <c r="H66" s="32" t="n"/>
      <c r="I66" s="32" t="n"/>
      <c r="J66" s="32" t="n"/>
      <c r="K66" s="24">
        <f>IF(B66="","",COUNT(I66:J66))</f>
        <v/>
      </c>
      <c r="L66" s="24" t="n"/>
      <c r="M66" s="24" t="n"/>
      <c r="N66" s="24" t="n"/>
      <c r="O66" s="24" t="n"/>
    </row>
    <row r="67">
      <c r="A67" s="24" t="inlineStr">
        <is>
          <t>M-066</t>
        </is>
      </c>
      <c r="B67" s="24" t="n"/>
      <c r="C67" s="24">
        <f>IF(B67="","",IFERROR(INDEX(Mentees!$D$2:$D$301,MATCH(B67,Mentees!$A$2:$A$301,0)),"ID not found"))</f>
        <v/>
      </c>
      <c r="D67" s="24" t="n"/>
      <c r="E67" s="24">
        <f>IF(D67="","",IFERROR(INDEX(Mentors!$D$2:$D$151,MATCH(D67,Mentors!$A$2:$A$151,0)),"ID not found"))</f>
        <v/>
      </c>
      <c r="F67" s="24">
        <f>IF(D67="","",IFERROR(INDEX(Mentors!$F$2:$F$151,MATCH(D67,Mentors!$A$2:$A$151,0))&amp;"",""))</f>
        <v/>
      </c>
      <c r="G67" s="24">
        <f>IF(D67="","",IFERROR(INDEX(Mentors!$P$2:$P$151,MATCH(D67,Mentors!$A$2:$A$151,0))&amp;"",""))</f>
        <v/>
      </c>
      <c r="H67" s="32" t="n"/>
      <c r="I67" s="32" t="n"/>
      <c r="J67" s="32" t="n"/>
      <c r="K67" s="24">
        <f>IF(B67="","",COUNT(I67:J67))</f>
        <v/>
      </c>
      <c r="L67" s="24" t="n"/>
      <c r="M67" s="24" t="n"/>
      <c r="N67" s="24" t="n"/>
      <c r="O67" s="24" t="n"/>
    </row>
    <row r="68">
      <c r="A68" s="24" t="inlineStr">
        <is>
          <t>M-067</t>
        </is>
      </c>
      <c r="B68" s="24" t="n"/>
      <c r="C68" s="24">
        <f>IF(B68="","",IFERROR(INDEX(Mentees!$D$2:$D$301,MATCH(B68,Mentees!$A$2:$A$301,0)),"ID not found"))</f>
        <v/>
      </c>
      <c r="D68" s="24" t="n"/>
      <c r="E68" s="24">
        <f>IF(D68="","",IFERROR(INDEX(Mentors!$D$2:$D$151,MATCH(D68,Mentors!$A$2:$A$151,0)),"ID not found"))</f>
        <v/>
      </c>
      <c r="F68" s="24">
        <f>IF(D68="","",IFERROR(INDEX(Mentors!$F$2:$F$151,MATCH(D68,Mentors!$A$2:$A$151,0))&amp;"",""))</f>
        <v/>
      </c>
      <c r="G68" s="24">
        <f>IF(D68="","",IFERROR(INDEX(Mentors!$P$2:$P$151,MATCH(D68,Mentors!$A$2:$A$151,0))&amp;"",""))</f>
        <v/>
      </c>
      <c r="H68" s="32" t="n"/>
      <c r="I68" s="32" t="n"/>
      <c r="J68" s="32" t="n"/>
      <c r="K68" s="24">
        <f>IF(B68="","",COUNT(I68:J68))</f>
        <v/>
      </c>
      <c r="L68" s="24" t="n"/>
      <c r="M68" s="24" t="n"/>
      <c r="N68" s="24" t="n"/>
      <c r="O68" s="24" t="n"/>
    </row>
    <row r="69">
      <c r="A69" s="24" t="inlineStr">
        <is>
          <t>M-068</t>
        </is>
      </c>
      <c r="B69" s="24" t="n"/>
      <c r="C69" s="24">
        <f>IF(B69="","",IFERROR(INDEX(Mentees!$D$2:$D$301,MATCH(B69,Mentees!$A$2:$A$301,0)),"ID not found"))</f>
        <v/>
      </c>
      <c r="D69" s="24" t="n"/>
      <c r="E69" s="24">
        <f>IF(D69="","",IFERROR(INDEX(Mentors!$D$2:$D$151,MATCH(D69,Mentors!$A$2:$A$151,0)),"ID not found"))</f>
        <v/>
      </c>
      <c r="F69" s="24">
        <f>IF(D69="","",IFERROR(INDEX(Mentors!$F$2:$F$151,MATCH(D69,Mentors!$A$2:$A$151,0))&amp;"",""))</f>
        <v/>
      </c>
      <c r="G69" s="24">
        <f>IF(D69="","",IFERROR(INDEX(Mentors!$P$2:$P$151,MATCH(D69,Mentors!$A$2:$A$151,0))&amp;"",""))</f>
        <v/>
      </c>
      <c r="H69" s="32" t="n"/>
      <c r="I69" s="32" t="n"/>
      <c r="J69" s="32" t="n"/>
      <c r="K69" s="24">
        <f>IF(B69="","",COUNT(I69:J69))</f>
        <v/>
      </c>
      <c r="L69" s="24" t="n"/>
      <c r="M69" s="24" t="n"/>
      <c r="N69" s="24" t="n"/>
      <c r="O69" s="24" t="n"/>
    </row>
    <row r="70">
      <c r="A70" s="24" t="inlineStr">
        <is>
          <t>M-069</t>
        </is>
      </c>
      <c r="B70" s="24" t="n"/>
      <c r="C70" s="24">
        <f>IF(B70="","",IFERROR(INDEX(Mentees!$D$2:$D$301,MATCH(B70,Mentees!$A$2:$A$301,0)),"ID not found"))</f>
        <v/>
      </c>
      <c r="D70" s="24" t="n"/>
      <c r="E70" s="24">
        <f>IF(D70="","",IFERROR(INDEX(Mentors!$D$2:$D$151,MATCH(D70,Mentors!$A$2:$A$151,0)),"ID not found"))</f>
        <v/>
      </c>
      <c r="F70" s="24">
        <f>IF(D70="","",IFERROR(INDEX(Mentors!$F$2:$F$151,MATCH(D70,Mentors!$A$2:$A$151,0))&amp;"",""))</f>
        <v/>
      </c>
      <c r="G70" s="24">
        <f>IF(D70="","",IFERROR(INDEX(Mentors!$P$2:$P$151,MATCH(D70,Mentors!$A$2:$A$151,0))&amp;"",""))</f>
        <v/>
      </c>
      <c r="H70" s="32" t="n"/>
      <c r="I70" s="32" t="n"/>
      <c r="J70" s="32" t="n"/>
      <c r="K70" s="24">
        <f>IF(B70="","",COUNT(I70:J70))</f>
        <v/>
      </c>
      <c r="L70" s="24" t="n"/>
      <c r="M70" s="24" t="n"/>
      <c r="N70" s="24" t="n"/>
      <c r="O70" s="24" t="n"/>
    </row>
    <row r="71">
      <c r="A71" s="24" t="inlineStr">
        <is>
          <t>M-070</t>
        </is>
      </c>
      <c r="B71" s="24" t="n"/>
      <c r="C71" s="24">
        <f>IF(B71="","",IFERROR(INDEX(Mentees!$D$2:$D$301,MATCH(B71,Mentees!$A$2:$A$301,0)),"ID not found"))</f>
        <v/>
      </c>
      <c r="D71" s="24" t="n"/>
      <c r="E71" s="24">
        <f>IF(D71="","",IFERROR(INDEX(Mentors!$D$2:$D$151,MATCH(D71,Mentors!$A$2:$A$151,0)),"ID not found"))</f>
        <v/>
      </c>
      <c r="F71" s="24">
        <f>IF(D71="","",IFERROR(INDEX(Mentors!$F$2:$F$151,MATCH(D71,Mentors!$A$2:$A$151,0))&amp;"",""))</f>
        <v/>
      </c>
      <c r="G71" s="24">
        <f>IF(D71="","",IFERROR(INDEX(Mentors!$P$2:$P$151,MATCH(D71,Mentors!$A$2:$A$151,0))&amp;"",""))</f>
        <v/>
      </c>
      <c r="H71" s="32" t="n"/>
      <c r="I71" s="32" t="n"/>
      <c r="J71" s="32" t="n"/>
      <c r="K71" s="24">
        <f>IF(B71="","",COUNT(I71:J71))</f>
        <v/>
      </c>
      <c r="L71" s="24" t="n"/>
      <c r="M71" s="24" t="n"/>
      <c r="N71" s="24" t="n"/>
      <c r="O71" s="24" t="n"/>
    </row>
    <row r="72">
      <c r="A72" s="24" t="inlineStr">
        <is>
          <t>M-071</t>
        </is>
      </c>
      <c r="B72" s="24" t="n"/>
      <c r="C72" s="24">
        <f>IF(B72="","",IFERROR(INDEX(Mentees!$D$2:$D$301,MATCH(B72,Mentees!$A$2:$A$301,0)),"ID not found"))</f>
        <v/>
      </c>
      <c r="D72" s="24" t="n"/>
      <c r="E72" s="24">
        <f>IF(D72="","",IFERROR(INDEX(Mentors!$D$2:$D$151,MATCH(D72,Mentors!$A$2:$A$151,0)),"ID not found"))</f>
        <v/>
      </c>
      <c r="F72" s="24">
        <f>IF(D72="","",IFERROR(INDEX(Mentors!$F$2:$F$151,MATCH(D72,Mentors!$A$2:$A$151,0))&amp;"",""))</f>
        <v/>
      </c>
      <c r="G72" s="24">
        <f>IF(D72="","",IFERROR(INDEX(Mentors!$P$2:$P$151,MATCH(D72,Mentors!$A$2:$A$151,0))&amp;"",""))</f>
        <v/>
      </c>
      <c r="H72" s="32" t="n"/>
      <c r="I72" s="32" t="n"/>
      <c r="J72" s="32" t="n"/>
      <c r="K72" s="24">
        <f>IF(B72="","",COUNT(I72:J72))</f>
        <v/>
      </c>
      <c r="L72" s="24" t="n"/>
      <c r="M72" s="24" t="n"/>
      <c r="N72" s="24" t="n"/>
      <c r="O72" s="24" t="n"/>
    </row>
    <row r="73">
      <c r="A73" s="24" t="inlineStr">
        <is>
          <t>M-072</t>
        </is>
      </c>
      <c r="B73" s="24" t="n"/>
      <c r="C73" s="24">
        <f>IF(B73="","",IFERROR(INDEX(Mentees!$D$2:$D$301,MATCH(B73,Mentees!$A$2:$A$301,0)),"ID not found"))</f>
        <v/>
      </c>
      <c r="D73" s="24" t="n"/>
      <c r="E73" s="24">
        <f>IF(D73="","",IFERROR(INDEX(Mentors!$D$2:$D$151,MATCH(D73,Mentors!$A$2:$A$151,0)),"ID not found"))</f>
        <v/>
      </c>
      <c r="F73" s="24">
        <f>IF(D73="","",IFERROR(INDEX(Mentors!$F$2:$F$151,MATCH(D73,Mentors!$A$2:$A$151,0))&amp;"",""))</f>
        <v/>
      </c>
      <c r="G73" s="24">
        <f>IF(D73="","",IFERROR(INDEX(Mentors!$P$2:$P$151,MATCH(D73,Mentors!$A$2:$A$151,0))&amp;"",""))</f>
        <v/>
      </c>
      <c r="H73" s="32" t="n"/>
      <c r="I73" s="32" t="n"/>
      <c r="J73" s="32" t="n"/>
      <c r="K73" s="24">
        <f>IF(B73="","",COUNT(I73:J73))</f>
        <v/>
      </c>
      <c r="L73" s="24" t="n"/>
      <c r="M73" s="24" t="n"/>
      <c r="N73" s="24" t="n"/>
      <c r="O73" s="24" t="n"/>
    </row>
    <row r="74">
      <c r="A74" s="24" t="inlineStr">
        <is>
          <t>M-073</t>
        </is>
      </c>
      <c r="B74" s="24" t="n"/>
      <c r="C74" s="24">
        <f>IF(B74="","",IFERROR(INDEX(Mentees!$D$2:$D$301,MATCH(B74,Mentees!$A$2:$A$301,0)),"ID not found"))</f>
        <v/>
      </c>
      <c r="D74" s="24" t="n"/>
      <c r="E74" s="24">
        <f>IF(D74="","",IFERROR(INDEX(Mentors!$D$2:$D$151,MATCH(D74,Mentors!$A$2:$A$151,0)),"ID not found"))</f>
        <v/>
      </c>
      <c r="F74" s="24">
        <f>IF(D74="","",IFERROR(INDEX(Mentors!$F$2:$F$151,MATCH(D74,Mentors!$A$2:$A$151,0))&amp;"",""))</f>
        <v/>
      </c>
      <c r="G74" s="24">
        <f>IF(D74="","",IFERROR(INDEX(Mentors!$P$2:$P$151,MATCH(D74,Mentors!$A$2:$A$151,0))&amp;"",""))</f>
        <v/>
      </c>
      <c r="H74" s="32" t="n"/>
      <c r="I74" s="32" t="n"/>
      <c r="J74" s="32" t="n"/>
      <c r="K74" s="24">
        <f>IF(B74="","",COUNT(I74:J74))</f>
        <v/>
      </c>
      <c r="L74" s="24" t="n"/>
      <c r="M74" s="24" t="n"/>
      <c r="N74" s="24" t="n"/>
      <c r="O74" s="24" t="n"/>
    </row>
    <row r="75">
      <c r="A75" s="24" t="inlineStr">
        <is>
          <t>M-074</t>
        </is>
      </c>
      <c r="B75" s="24" t="n"/>
      <c r="C75" s="24">
        <f>IF(B75="","",IFERROR(INDEX(Mentees!$D$2:$D$301,MATCH(B75,Mentees!$A$2:$A$301,0)),"ID not found"))</f>
        <v/>
      </c>
      <c r="D75" s="24" t="n"/>
      <c r="E75" s="24">
        <f>IF(D75="","",IFERROR(INDEX(Mentors!$D$2:$D$151,MATCH(D75,Mentors!$A$2:$A$151,0)),"ID not found"))</f>
        <v/>
      </c>
      <c r="F75" s="24">
        <f>IF(D75="","",IFERROR(INDEX(Mentors!$F$2:$F$151,MATCH(D75,Mentors!$A$2:$A$151,0))&amp;"",""))</f>
        <v/>
      </c>
      <c r="G75" s="24">
        <f>IF(D75="","",IFERROR(INDEX(Mentors!$P$2:$P$151,MATCH(D75,Mentors!$A$2:$A$151,0))&amp;"",""))</f>
        <v/>
      </c>
      <c r="H75" s="32" t="n"/>
      <c r="I75" s="32" t="n"/>
      <c r="J75" s="32" t="n"/>
      <c r="K75" s="24">
        <f>IF(B75="","",COUNT(I75:J75))</f>
        <v/>
      </c>
      <c r="L75" s="24" t="n"/>
      <c r="M75" s="24" t="n"/>
      <c r="N75" s="24" t="n"/>
      <c r="O75" s="24" t="n"/>
    </row>
    <row r="76">
      <c r="A76" s="24" t="inlineStr">
        <is>
          <t>M-075</t>
        </is>
      </c>
      <c r="B76" s="24" t="n"/>
      <c r="C76" s="24">
        <f>IF(B76="","",IFERROR(INDEX(Mentees!$D$2:$D$301,MATCH(B76,Mentees!$A$2:$A$301,0)),"ID not found"))</f>
        <v/>
      </c>
      <c r="D76" s="24" t="n"/>
      <c r="E76" s="24">
        <f>IF(D76="","",IFERROR(INDEX(Mentors!$D$2:$D$151,MATCH(D76,Mentors!$A$2:$A$151,0)),"ID not found"))</f>
        <v/>
      </c>
      <c r="F76" s="24">
        <f>IF(D76="","",IFERROR(INDEX(Mentors!$F$2:$F$151,MATCH(D76,Mentors!$A$2:$A$151,0))&amp;"",""))</f>
        <v/>
      </c>
      <c r="G76" s="24">
        <f>IF(D76="","",IFERROR(INDEX(Mentors!$P$2:$P$151,MATCH(D76,Mentors!$A$2:$A$151,0))&amp;"",""))</f>
        <v/>
      </c>
      <c r="H76" s="32" t="n"/>
      <c r="I76" s="32" t="n"/>
      <c r="J76" s="32" t="n"/>
      <c r="K76" s="24">
        <f>IF(B76="","",COUNT(I76:J76))</f>
        <v/>
      </c>
      <c r="L76" s="24" t="n"/>
      <c r="M76" s="24" t="n"/>
      <c r="N76" s="24" t="n"/>
      <c r="O76" s="24" t="n"/>
    </row>
    <row r="77">
      <c r="A77" s="24" t="inlineStr">
        <is>
          <t>M-076</t>
        </is>
      </c>
      <c r="B77" s="24" t="n"/>
      <c r="C77" s="24">
        <f>IF(B77="","",IFERROR(INDEX(Mentees!$D$2:$D$301,MATCH(B77,Mentees!$A$2:$A$301,0)),"ID not found"))</f>
        <v/>
      </c>
      <c r="D77" s="24" t="n"/>
      <c r="E77" s="24">
        <f>IF(D77="","",IFERROR(INDEX(Mentors!$D$2:$D$151,MATCH(D77,Mentors!$A$2:$A$151,0)),"ID not found"))</f>
        <v/>
      </c>
      <c r="F77" s="24">
        <f>IF(D77="","",IFERROR(INDEX(Mentors!$F$2:$F$151,MATCH(D77,Mentors!$A$2:$A$151,0))&amp;"",""))</f>
        <v/>
      </c>
      <c r="G77" s="24">
        <f>IF(D77="","",IFERROR(INDEX(Mentors!$P$2:$P$151,MATCH(D77,Mentors!$A$2:$A$151,0))&amp;"",""))</f>
        <v/>
      </c>
      <c r="H77" s="32" t="n"/>
      <c r="I77" s="32" t="n"/>
      <c r="J77" s="32" t="n"/>
      <c r="K77" s="24">
        <f>IF(B77="","",COUNT(I77:J77))</f>
        <v/>
      </c>
      <c r="L77" s="24" t="n"/>
      <c r="M77" s="24" t="n"/>
      <c r="N77" s="24" t="n"/>
      <c r="O77" s="24" t="n"/>
    </row>
    <row r="78">
      <c r="A78" s="24" t="inlineStr">
        <is>
          <t>M-077</t>
        </is>
      </c>
      <c r="B78" s="24" t="n"/>
      <c r="C78" s="24">
        <f>IF(B78="","",IFERROR(INDEX(Mentees!$D$2:$D$301,MATCH(B78,Mentees!$A$2:$A$301,0)),"ID not found"))</f>
        <v/>
      </c>
      <c r="D78" s="24" t="n"/>
      <c r="E78" s="24">
        <f>IF(D78="","",IFERROR(INDEX(Mentors!$D$2:$D$151,MATCH(D78,Mentors!$A$2:$A$151,0)),"ID not found"))</f>
        <v/>
      </c>
      <c r="F78" s="24">
        <f>IF(D78="","",IFERROR(INDEX(Mentors!$F$2:$F$151,MATCH(D78,Mentors!$A$2:$A$151,0))&amp;"",""))</f>
        <v/>
      </c>
      <c r="G78" s="24">
        <f>IF(D78="","",IFERROR(INDEX(Mentors!$P$2:$P$151,MATCH(D78,Mentors!$A$2:$A$151,0))&amp;"",""))</f>
        <v/>
      </c>
      <c r="H78" s="32" t="n"/>
      <c r="I78" s="32" t="n"/>
      <c r="J78" s="32" t="n"/>
      <c r="K78" s="24">
        <f>IF(B78="","",COUNT(I78:J78))</f>
        <v/>
      </c>
      <c r="L78" s="24" t="n"/>
      <c r="M78" s="24" t="n"/>
      <c r="N78" s="24" t="n"/>
      <c r="O78" s="24" t="n"/>
    </row>
    <row r="79">
      <c r="A79" s="24" t="inlineStr">
        <is>
          <t>M-078</t>
        </is>
      </c>
      <c r="B79" s="24" t="n"/>
      <c r="C79" s="24">
        <f>IF(B79="","",IFERROR(INDEX(Mentees!$D$2:$D$301,MATCH(B79,Mentees!$A$2:$A$301,0)),"ID not found"))</f>
        <v/>
      </c>
      <c r="D79" s="24" t="n"/>
      <c r="E79" s="24">
        <f>IF(D79="","",IFERROR(INDEX(Mentors!$D$2:$D$151,MATCH(D79,Mentors!$A$2:$A$151,0)),"ID not found"))</f>
        <v/>
      </c>
      <c r="F79" s="24">
        <f>IF(D79="","",IFERROR(INDEX(Mentors!$F$2:$F$151,MATCH(D79,Mentors!$A$2:$A$151,0))&amp;"",""))</f>
        <v/>
      </c>
      <c r="G79" s="24">
        <f>IF(D79="","",IFERROR(INDEX(Mentors!$P$2:$P$151,MATCH(D79,Mentors!$A$2:$A$151,0))&amp;"",""))</f>
        <v/>
      </c>
      <c r="H79" s="32" t="n"/>
      <c r="I79" s="32" t="n"/>
      <c r="J79" s="32" t="n"/>
      <c r="K79" s="24">
        <f>IF(B79="","",COUNT(I79:J79))</f>
        <v/>
      </c>
      <c r="L79" s="24" t="n"/>
      <c r="M79" s="24" t="n"/>
      <c r="N79" s="24" t="n"/>
      <c r="O79" s="24" t="n"/>
    </row>
    <row r="80">
      <c r="A80" s="24" t="inlineStr">
        <is>
          <t>M-079</t>
        </is>
      </c>
      <c r="B80" s="24" t="n"/>
      <c r="C80" s="24">
        <f>IF(B80="","",IFERROR(INDEX(Mentees!$D$2:$D$301,MATCH(B80,Mentees!$A$2:$A$301,0)),"ID not found"))</f>
        <v/>
      </c>
      <c r="D80" s="24" t="n"/>
      <c r="E80" s="24">
        <f>IF(D80="","",IFERROR(INDEX(Mentors!$D$2:$D$151,MATCH(D80,Mentors!$A$2:$A$151,0)),"ID not found"))</f>
        <v/>
      </c>
      <c r="F80" s="24">
        <f>IF(D80="","",IFERROR(INDEX(Mentors!$F$2:$F$151,MATCH(D80,Mentors!$A$2:$A$151,0))&amp;"",""))</f>
        <v/>
      </c>
      <c r="G80" s="24">
        <f>IF(D80="","",IFERROR(INDEX(Mentors!$P$2:$P$151,MATCH(D80,Mentors!$A$2:$A$151,0))&amp;"",""))</f>
        <v/>
      </c>
      <c r="H80" s="32" t="n"/>
      <c r="I80" s="32" t="n"/>
      <c r="J80" s="32" t="n"/>
      <c r="K80" s="24">
        <f>IF(B80="","",COUNT(I80:J80))</f>
        <v/>
      </c>
      <c r="L80" s="24" t="n"/>
      <c r="M80" s="24" t="n"/>
      <c r="N80" s="24" t="n"/>
      <c r="O80" s="24" t="n"/>
    </row>
    <row r="81">
      <c r="A81" s="24" t="inlineStr">
        <is>
          <t>M-080</t>
        </is>
      </c>
      <c r="B81" s="24" t="n"/>
      <c r="C81" s="24">
        <f>IF(B81="","",IFERROR(INDEX(Mentees!$D$2:$D$301,MATCH(B81,Mentees!$A$2:$A$301,0)),"ID not found"))</f>
        <v/>
      </c>
      <c r="D81" s="24" t="n"/>
      <c r="E81" s="24">
        <f>IF(D81="","",IFERROR(INDEX(Mentors!$D$2:$D$151,MATCH(D81,Mentors!$A$2:$A$151,0)),"ID not found"))</f>
        <v/>
      </c>
      <c r="F81" s="24">
        <f>IF(D81="","",IFERROR(INDEX(Mentors!$F$2:$F$151,MATCH(D81,Mentors!$A$2:$A$151,0))&amp;"",""))</f>
        <v/>
      </c>
      <c r="G81" s="24">
        <f>IF(D81="","",IFERROR(INDEX(Mentors!$P$2:$P$151,MATCH(D81,Mentors!$A$2:$A$151,0))&amp;"",""))</f>
        <v/>
      </c>
      <c r="H81" s="32" t="n"/>
      <c r="I81" s="32" t="n"/>
      <c r="J81" s="32" t="n"/>
      <c r="K81" s="24">
        <f>IF(B81="","",COUNT(I81:J81))</f>
        <v/>
      </c>
      <c r="L81" s="24" t="n"/>
      <c r="M81" s="24" t="n"/>
      <c r="N81" s="24" t="n"/>
      <c r="O81" s="24" t="n"/>
    </row>
    <row r="82">
      <c r="A82" s="24" t="inlineStr">
        <is>
          <t>M-081</t>
        </is>
      </c>
      <c r="B82" s="24" t="n"/>
      <c r="C82" s="24">
        <f>IF(B82="","",IFERROR(INDEX(Mentees!$D$2:$D$301,MATCH(B82,Mentees!$A$2:$A$301,0)),"ID not found"))</f>
        <v/>
      </c>
      <c r="D82" s="24" t="n"/>
      <c r="E82" s="24">
        <f>IF(D82="","",IFERROR(INDEX(Mentors!$D$2:$D$151,MATCH(D82,Mentors!$A$2:$A$151,0)),"ID not found"))</f>
        <v/>
      </c>
      <c r="F82" s="24">
        <f>IF(D82="","",IFERROR(INDEX(Mentors!$F$2:$F$151,MATCH(D82,Mentors!$A$2:$A$151,0))&amp;"",""))</f>
        <v/>
      </c>
      <c r="G82" s="24">
        <f>IF(D82="","",IFERROR(INDEX(Mentors!$P$2:$P$151,MATCH(D82,Mentors!$A$2:$A$151,0))&amp;"",""))</f>
        <v/>
      </c>
      <c r="H82" s="32" t="n"/>
      <c r="I82" s="32" t="n"/>
      <c r="J82" s="32" t="n"/>
      <c r="K82" s="24">
        <f>IF(B82="","",COUNT(I82:J82))</f>
        <v/>
      </c>
      <c r="L82" s="24" t="n"/>
      <c r="M82" s="24" t="n"/>
      <c r="N82" s="24" t="n"/>
      <c r="O82" s="24" t="n"/>
    </row>
    <row r="83">
      <c r="A83" s="24" t="inlineStr">
        <is>
          <t>M-082</t>
        </is>
      </c>
      <c r="B83" s="24" t="n"/>
      <c r="C83" s="24">
        <f>IF(B83="","",IFERROR(INDEX(Mentees!$D$2:$D$301,MATCH(B83,Mentees!$A$2:$A$301,0)),"ID not found"))</f>
        <v/>
      </c>
      <c r="D83" s="24" t="n"/>
      <c r="E83" s="24">
        <f>IF(D83="","",IFERROR(INDEX(Mentors!$D$2:$D$151,MATCH(D83,Mentors!$A$2:$A$151,0)),"ID not found"))</f>
        <v/>
      </c>
      <c r="F83" s="24">
        <f>IF(D83="","",IFERROR(INDEX(Mentors!$F$2:$F$151,MATCH(D83,Mentors!$A$2:$A$151,0))&amp;"",""))</f>
        <v/>
      </c>
      <c r="G83" s="24">
        <f>IF(D83="","",IFERROR(INDEX(Mentors!$P$2:$P$151,MATCH(D83,Mentors!$A$2:$A$151,0))&amp;"",""))</f>
        <v/>
      </c>
      <c r="H83" s="32" t="n"/>
      <c r="I83" s="32" t="n"/>
      <c r="J83" s="32" t="n"/>
      <c r="K83" s="24">
        <f>IF(B83="","",COUNT(I83:J83))</f>
        <v/>
      </c>
      <c r="L83" s="24" t="n"/>
      <c r="M83" s="24" t="n"/>
      <c r="N83" s="24" t="n"/>
      <c r="O83" s="24" t="n"/>
    </row>
    <row r="84">
      <c r="A84" s="24" t="inlineStr">
        <is>
          <t>M-083</t>
        </is>
      </c>
      <c r="B84" s="24" t="n"/>
      <c r="C84" s="24">
        <f>IF(B84="","",IFERROR(INDEX(Mentees!$D$2:$D$301,MATCH(B84,Mentees!$A$2:$A$301,0)),"ID not found"))</f>
        <v/>
      </c>
      <c r="D84" s="24" t="n"/>
      <c r="E84" s="24">
        <f>IF(D84="","",IFERROR(INDEX(Mentors!$D$2:$D$151,MATCH(D84,Mentors!$A$2:$A$151,0)),"ID not found"))</f>
        <v/>
      </c>
      <c r="F84" s="24">
        <f>IF(D84="","",IFERROR(INDEX(Mentors!$F$2:$F$151,MATCH(D84,Mentors!$A$2:$A$151,0))&amp;"",""))</f>
        <v/>
      </c>
      <c r="G84" s="24">
        <f>IF(D84="","",IFERROR(INDEX(Mentors!$P$2:$P$151,MATCH(D84,Mentors!$A$2:$A$151,0))&amp;"",""))</f>
        <v/>
      </c>
      <c r="H84" s="32" t="n"/>
      <c r="I84" s="32" t="n"/>
      <c r="J84" s="32" t="n"/>
      <c r="K84" s="24">
        <f>IF(B84="","",COUNT(I84:J84))</f>
        <v/>
      </c>
      <c r="L84" s="24" t="n"/>
      <c r="M84" s="24" t="n"/>
      <c r="N84" s="24" t="n"/>
      <c r="O84" s="24" t="n"/>
    </row>
    <row r="85">
      <c r="A85" s="24" t="inlineStr">
        <is>
          <t>M-084</t>
        </is>
      </c>
      <c r="B85" s="24" t="n"/>
      <c r="C85" s="24">
        <f>IF(B85="","",IFERROR(INDEX(Mentees!$D$2:$D$301,MATCH(B85,Mentees!$A$2:$A$301,0)),"ID not found"))</f>
        <v/>
      </c>
      <c r="D85" s="24" t="n"/>
      <c r="E85" s="24">
        <f>IF(D85="","",IFERROR(INDEX(Mentors!$D$2:$D$151,MATCH(D85,Mentors!$A$2:$A$151,0)),"ID not found"))</f>
        <v/>
      </c>
      <c r="F85" s="24">
        <f>IF(D85="","",IFERROR(INDEX(Mentors!$F$2:$F$151,MATCH(D85,Mentors!$A$2:$A$151,0))&amp;"",""))</f>
        <v/>
      </c>
      <c r="G85" s="24">
        <f>IF(D85="","",IFERROR(INDEX(Mentors!$P$2:$P$151,MATCH(D85,Mentors!$A$2:$A$151,0))&amp;"",""))</f>
        <v/>
      </c>
      <c r="H85" s="32" t="n"/>
      <c r="I85" s="32" t="n"/>
      <c r="J85" s="32" t="n"/>
      <c r="K85" s="24">
        <f>IF(B85="","",COUNT(I85:J85))</f>
        <v/>
      </c>
      <c r="L85" s="24" t="n"/>
      <c r="M85" s="24" t="n"/>
      <c r="N85" s="24" t="n"/>
      <c r="O85" s="24" t="n"/>
    </row>
    <row r="86">
      <c r="A86" s="24" t="inlineStr">
        <is>
          <t>M-085</t>
        </is>
      </c>
      <c r="B86" s="24" t="n"/>
      <c r="C86" s="24">
        <f>IF(B86="","",IFERROR(INDEX(Mentees!$D$2:$D$301,MATCH(B86,Mentees!$A$2:$A$301,0)),"ID not found"))</f>
        <v/>
      </c>
      <c r="D86" s="24" t="n"/>
      <c r="E86" s="24">
        <f>IF(D86="","",IFERROR(INDEX(Mentors!$D$2:$D$151,MATCH(D86,Mentors!$A$2:$A$151,0)),"ID not found"))</f>
        <v/>
      </c>
      <c r="F86" s="24">
        <f>IF(D86="","",IFERROR(INDEX(Mentors!$F$2:$F$151,MATCH(D86,Mentors!$A$2:$A$151,0))&amp;"",""))</f>
        <v/>
      </c>
      <c r="G86" s="24">
        <f>IF(D86="","",IFERROR(INDEX(Mentors!$P$2:$P$151,MATCH(D86,Mentors!$A$2:$A$151,0))&amp;"",""))</f>
        <v/>
      </c>
      <c r="H86" s="32" t="n"/>
      <c r="I86" s="32" t="n"/>
      <c r="J86" s="32" t="n"/>
      <c r="K86" s="24">
        <f>IF(B86="","",COUNT(I86:J86))</f>
        <v/>
      </c>
      <c r="L86" s="24" t="n"/>
      <c r="M86" s="24" t="n"/>
      <c r="N86" s="24" t="n"/>
      <c r="O86" s="24" t="n"/>
    </row>
    <row r="87">
      <c r="A87" s="24" t="inlineStr">
        <is>
          <t>M-086</t>
        </is>
      </c>
      <c r="B87" s="24" t="n"/>
      <c r="C87" s="24">
        <f>IF(B87="","",IFERROR(INDEX(Mentees!$D$2:$D$301,MATCH(B87,Mentees!$A$2:$A$301,0)),"ID not found"))</f>
        <v/>
      </c>
      <c r="D87" s="24" t="n"/>
      <c r="E87" s="24">
        <f>IF(D87="","",IFERROR(INDEX(Mentors!$D$2:$D$151,MATCH(D87,Mentors!$A$2:$A$151,0)),"ID not found"))</f>
        <v/>
      </c>
      <c r="F87" s="24">
        <f>IF(D87="","",IFERROR(INDEX(Mentors!$F$2:$F$151,MATCH(D87,Mentors!$A$2:$A$151,0))&amp;"",""))</f>
        <v/>
      </c>
      <c r="G87" s="24">
        <f>IF(D87="","",IFERROR(INDEX(Mentors!$P$2:$P$151,MATCH(D87,Mentors!$A$2:$A$151,0))&amp;"",""))</f>
        <v/>
      </c>
      <c r="H87" s="32" t="n"/>
      <c r="I87" s="32" t="n"/>
      <c r="J87" s="32" t="n"/>
      <c r="K87" s="24">
        <f>IF(B87="","",COUNT(I87:J87))</f>
        <v/>
      </c>
      <c r="L87" s="24" t="n"/>
      <c r="M87" s="24" t="n"/>
      <c r="N87" s="24" t="n"/>
      <c r="O87" s="24" t="n"/>
    </row>
    <row r="88">
      <c r="A88" s="24" t="inlineStr">
        <is>
          <t>M-087</t>
        </is>
      </c>
      <c r="B88" s="24" t="n"/>
      <c r="C88" s="24">
        <f>IF(B88="","",IFERROR(INDEX(Mentees!$D$2:$D$301,MATCH(B88,Mentees!$A$2:$A$301,0)),"ID not found"))</f>
        <v/>
      </c>
      <c r="D88" s="24" t="n"/>
      <c r="E88" s="24">
        <f>IF(D88="","",IFERROR(INDEX(Mentors!$D$2:$D$151,MATCH(D88,Mentors!$A$2:$A$151,0)),"ID not found"))</f>
        <v/>
      </c>
      <c r="F88" s="24">
        <f>IF(D88="","",IFERROR(INDEX(Mentors!$F$2:$F$151,MATCH(D88,Mentors!$A$2:$A$151,0))&amp;"",""))</f>
        <v/>
      </c>
      <c r="G88" s="24">
        <f>IF(D88="","",IFERROR(INDEX(Mentors!$P$2:$P$151,MATCH(D88,Mentors!$A$2:$A$151,0))&amp;"",""))</f>
        <v/>
      </c>
      <c r="H88" s="32" t="n"/>
      <c r="I88" s="32" t="n"/>
      <c r="J88" s="32" t="n"/>
      <c r="K88" s="24">
        <f>IF(B88="","",COUNT(I88:J88))</f>
        <v/>
      </c>
      <c r="L88" s="24" t="n"/>
      <c r="M88" s="24" t="n"/>
      <c r="N88" s="24" t="n"/>
      <c r="O88" s="24" t="n"/>
    </row>
    <row r="89">
      <c r="A89" s="24" t="inlineStr">
        <is>
          <t>M-088</t>
        </is>
      </c>
      <c r="B89" s="24" t="n"/>
      <c r="C89" s="24">
        <f>IF(B89="","",IFERROR(INDEX(Mentees!$D$2:$D$301,MATCH(B89,Mentees!$A$2:$A$301,0)),"ID not found"))</f>
        <v/>
      </c>
      <c r="D89" s="24" t="n"/>
      <c r="E89" s="24">
        <f>IF(D89="","",IFERROR(INDEX(Mentors!$D$2:$D$151,MATCH(D89,Mentors!$A$2:$A$151,0)),"ID not found"))</f>
        <v/>
      </c>
      <c r="F89" s="24">
        <f>IF(D89="","",IFERROR(INDEX(Mentors!$F$2:$F$151,MATCH(D89,Mentors!$A$2:$A$151,0))&amp;"",""))</f>
        <v/>
      </c>
      <c r="G89" s="24">
        <f>IF(D89="","",IFERROR(INDEX(Mentors!$P$2:$P$151,MATCH(D89,Mentors!$A$2:$A$151,0))&amp;"",""))</f>
        <v/>
      </c>
      <c r="H89" s="32" t="n"/>
      <c r="I89" s="32" t="n"/>
      <c r="J89" s="32" t="n"/>
      <c r="K89" s="24">
        <f>IF(B89="","",COUNT(I89:J89))</f>
        <v/>
      </c>
      <c r="L89" s="24" t="n"/>
      <c r="M89" s="24" t="n"/>
      <c r="N89" s="24" t="n"/>
      <c r="O89" s="24" t="n"/>
    </row>
    <row r="90">
      <c r="A90" s="24" t="inlineStr">
        <is>
          <t>M-089</t>
        </is>
      </c>
      <c r="B90" s="24" t="n"/>
      <c r="C90" s="24">
        <f>IF(B90="","",IFERROR(INDEX(Mentees!$D$2:$D$301,MATCH(B90,Mentees!$A$2:$A$301,0)),"ID not found"))</f>
        <v/>
      </c>
      <c r="D90" s="24" t="n"/>
      <c r="E90" s="24">
        <f>IF(D90="","",IFERROR(INDEX(Mentors!$D$2:$D$151,MATCH(D90,Mentors!$A$2:$A$151,0)),"ID not found"))</f>
        <v/>
      </c>
      <c r="F90" s="24">
        <f>IF(D90="","",IFERROR(INDEX(Mentors!$F$2:$F$151,MATCH(D90,Mentors!$A$2:$A$151,0))&amp;"",""))</f>
        <v/>
      </c>
      <c r="G90" s="24">
        <f>IF(D90="","",IFERROR(INDEX(Mentors!$P$2:$P$151,MATCH(D90,Mentors!$A$2:$A$151,0))&amp;"",""))</f>
        <v/>
      </c>
      <c r="H90" s="32" t="n"/>
      <c r="I90" s="32" t="n"/>
      <c r="J90" s="32" t="n"/>
      <c r="K90" s="24">
        <f>IF(B90="","",COUNT(I90:J90))</f>
        <v/>
      </c>
      <c r="L90" s="24" t="n"/>
      <c r="M90" s="24" t="n"/>
      <c r="N90" s="24" t="n"/>
      <c r="O90" s="24" t="n"/>
    </row>
    <row r="91">
      <c r="A91" s="24" t="inlineStr">
        <is>
          <t>M-090</t>
        </is>
      </c>
      <c r="B91" s="24" t="n"/>
      <c r="C91" s="24">
        <f>IF(B91="","",IFERROR(INDEX(Mentees!$D$2:$D$301,MATCH(B91,Mentees!$A$2:$A$301,0)),"ID not found"))</f>
        <v/>
      </c>
      <c r="D91" s="24" t="n"/>
      <c r="E91" s="24">
        <f>IF(D91="","",IFERROR(INDEX(Mentors!$D$2:$D$151,MATCH(D91,Mentors!$A$2:$A$151,0)),"ID not found"))</f>
        <v/>
      </c>
      <c r="F91" s="24">
        <f>IF(D91="","",IFERROR(INDEX(Mentors!$F$2:$F$151,MATCH(D91,Mentors!$A$2:$A$151,0))&amp;"",""))</f>
        <v/>
      </c>
      <c r="G91" s="24">
        <f>IF(D91="","",IFERROR(INDEX(Mentors!$P$2:$P$151,MATCH(D91,Mentors!$A$2:$A$151,0))&amp;"",""))</f>
        <v/>
      </c>
      <c r="H91" s="32" t="n"/>
      <c r="I91" s="32" t="n"/>
      <c r="J91" s="32" t="n"/>
      <c r="K91" s="24">
        <f>IF(B91="","",COUNT(I91:J91))</f>
        <v/>
      </c>
      <c r="L91" s="24" t="n"/>
      <c r="M91" s="24" t="n"/>
      <c r="N91" s="24" t="n"/>
      <c r="O91" s="24" t="n"/>
    </row>
    <row r="92">
      <c r="A92" s="24" t="inlineStr">
        <is>
          <t>M-091</t>
        </is>
      </c>
      <c r="B92" s="24" t="n"/>
      <c r="C92" s="24">
        <f>IF(B92="","",IFERROR(INDEX(Mentees!$D$2:$D$301,MATCH(B92,Mentees!$A$2:$A$301,0)),"ID not found"))</f>
        <v/>
      </c>
      <c r="D92" s="24" t="n"/>
      <c r="E92" s="24">
        <f>IF(D92="","",IFERROR(INDEX(Mentors!$D$2:$D$151,MATCH(D92,Mentors!$A$2:$A$151,0)),"ID not found"))</f>
        <v/>
      </c>
      <c r="F92" s="24">
        <f>IF(D92="","",IFERROR(INDEX(Mentors!$F$2:$F$151,MATCH(D92,Mentors!$A$2:$A$151,0))&amp;"",""))</f>
        <v/>
      </c>
      <c r="G92" s="24">
        <f>IF(D92="","",IFERROR(INDEX(Mentors!$P$2:$P$151,MATCH(D92,Mentors!$A$2:$A$151,0))&amp;"",""))</f>
        <v/>
      </c>
      <c r="H92" s="32" t="n"/>
      <c r="I92" s="32" t="n"/>
      <c r="J92" s="32" t="n"/>
      <c r="K92" s="24">
        <f>IF(B92="","",COUNT(I92:J92))</f>
        <v/>
      </c>
      <c r="L92" s="24" t="n"/>
      <c r="M92" s="24" t="n"/>
      <c r="N92" s="24" t="n"/>
      <c r="O92" s="24" t="n"/>
    </row>
    <row r="93">
      <c r="A93" s="24" t="inlineStr">
        <is>
          <t>M-092</t>
        </is>
      </c>
      <c r="B93" s="24" t="n"/>
      <c r="C93" s="24">
        <f>IF(B93="","",IFERROR(INDEX(Mentees!$D$2:$D$301,MATCH(B93,Mentees!$A$2:$A$301,0)),"ID not found"))</f>
        <v/>
      </c>
      <c r="D93" s="24" t="n"/>
      <c r="E93" s="24">
        <f>IF(D93="","",IFERROR(INDEX(Mentors!$D$2:$D$151,MATCH(D93,Mentors!$A$2:$A$151,0)),"ID not found"))</f>
        <v/>
      </c>
      <c r="F93" s="24">
        <f>IF(D93="","",IFERROR(INDEX(Mentors!$F$2:$F$151,MATCH(D93,Mentors!$A$2:$A$151,0))&amp;"",""))</f>
        <v/>
      </c>
      <c r="G93" s="24">
        <f>IF(D93="","",IFERROR(INDEX(Mentors!$P$2:$P$151,MATCH(D93,Mentors!$A$2:$A$151,0))&amp;"",""))</f>
        <v/>
      </c>
      <c r="H93" s="32" t="n"/>
      <c r="I93" s="32" t="n"/>
      <c r="J93" s="32" t="n"/>
      <c r="K93" s="24">
        <f>IF(B93="","",COUNT(I93:J93))</f>
        <v/>
      </c>
      <c r="L93" s="24" t="n"/>
      <c r="M93" s="24" t="n"/>
      <c r="N93" s="24" t="n"/>
      <c r="O93" s="24" t="n"/>
    </row>
    <row r="94">
      <c r="A94" s="24" t="inlineStr">
        <is>
          <t>M-093</t>
        </is>
      </c>
      <c r="B94" s="24" t="n"/>
      <c r="C94" s="24">
        <f>IF(B94="","",IFERROR(INDEX(Mentees!$D$2:$D$301,MATCH(B94,Mentees!$A$2:$A$301,0)),"ID not found"))</f>
        <v/>
      </c>
      <c r="D94" s="24" t="n"/>
      <c r="E94" s="24">
        <f>IF(D94="","",IFERROR(INDEX(Mentors!$D$2:$D$151,MATCH(D94,Mentors!$A$2:$A$151,0)),"ID not found"))</f>
        <v/>
      </c>
      <c r="F94" s="24">
        <f>IF(D94="","",IFERROR(INDEX(Mentors!$F$2:$F$151,MATCH(D94,Mentors!$A$2:$A$151,0))&amp;"",""))</f>
        <v/>
      </c>
      <c r="G94" s="24">
        <f>IF(D94="","",IFERROR(INDEX(Mentors!$P$2:$P$151,MATCH(D94,Mentors!$A$2:$A$151,0))&amp;"",""))</f>
        <v/>
      </c>
      <c r="H94" s="32" t="n"/>
      <c r="I94" s="32" t="n"/>
      <c r="J94" s="32" t="n"/>
      <c r="K94" s="24">
        <f>IF(B94="","",COUNT(I94:J94))</f>
        <v/>
      </c>
      <c r="L94" s="24" t="n"/>
      <c r="M94" s="24" t="n"/>
      <c r="N94" s="24" t="n"/>
      <c r="O94" s="24" t="n"/>
    </row>
    <row r="95">
      <c r="A95" s="24" t="inlineStr">
        <is>
          <t>M-094</t>
        </is>
      </c>
      <c r="B95" s="24" t="n"/>
      <c r="C95" s="24">
        <f>IF(B95="","",IFERROR(INDEX(Mentees!$D$2:$D$301,MATCH(B95,Mentees!$A$2:$A$301,0)),"ID not found"))</f>
        <v/>
      </c>
      <c r="D95" s="24" t="n"/>
      <c r="E95" s="24">
        <f>IF(D95="","",IFERROR(INDEX(Mentors!$D$2:$D$151,MATCH(D95,Mentors!$A$2:$A$151,0)),"ID not found"))</f>
        <v/>
      </c>
      <c r="F95" s="24">
        <f>IF(D95="","",IFERROR(INDEX(Mentors!$F$2:$F$151,MATCH(D95,Mentors!$A$2:$A$151,0))&amp;"",""))</f>
        <v/>
      </c>
      <c r="G95" s="24">
        <f>IF(D95="","",IFERROR(INDEX(Mentors!$P$2:$P$151,MATCH(D95,Mentors!$A$2:$A$151,0))&amp;"",""))</f>
        <v/>
      </c>
      <c r="H95" s="32" t="n"/>
      <c r="I95" s="32" t="n"/>
      <c r="J95" s="32" t="n"/>
      <c r="K95" s="24">
        <f>IF(B95="","",COUNT(I95:J95))</f>
        <v/>
      </c>
      <c r="L95" s="24" t="n"/>
      <c r="M95" s="24" t="n"/>
      <c r="N95" s="24" t="n"/>
      <c r="O95" s="24" t="n"/>
    </row>
    <row r="96">
      <c r="A96" s="24" t="inlineStr">
        <is>
          <t>M-095</t>
        </is>
      </c>
      <c r="B96" s="24" t="n"/>
      <c r="C96" s="24">
        <f>IF(B96="","",IFERROR(INDEX(Mentees!$D$2:$D$301,MATCH(B96,Mentees!$A$2:$A$301,0)),"ID not found"))</f>
        <v/>
      </c>
      <c r="D96" s="24" t="n"/>
      <c r="E96" s="24">
        <f>IF(D96="","",IFERROR(INDEX(Mentors!$D$2:$D$151,MATCH(D96,Mentors!$A$2:$A$151,0)),"ID not found"))</f>
        <v/>
      </c>
      <c r="F96" s="24">
        <f>IF(D96="","",IFERROR(INDEX(Mentors!$F$2:$F$151,MATCH(D96,Mentors!$A$2:$A$151,0))&amp;"",""))</f>
        <v/>
      </c>
      <c r="G96" s="24">
        <f>IF(D96="","",IFERROR(INDEX(Mentors!$P$2:$P$151,MATCH(D96,Mentors!$A$2:$A$151,0))&amp;"",""))</f>
        <v/>
      </c>
      <c r="H96" s="32" t="n"/>
      <c r="I96" s="32" t="n"/>
      <c r="J96" s="32" t="n"/>
      <c r="K96" s="24">
        <f>IF(B96="","",COUNT(I96:J96))</f>
        <v/>
      </c>
      <c r="L96" s="24" t="n"/>
      <c r="M96" s="24" t="n"/>
      <c r="N96" s="24" t="n"/>
      <c r="O96" s="24" t="n"/>
    </row>
    <row r="97">
      <c r="A97" s="24" t="inlineStr">
        <is>
          <t>M-096</t>
        </is>
      </c>
      <c r="B97" s="24" t="n"/>
      <c r="C97" s="24">
        <f>IF(B97="","",IFERROR(INDEX(Mentees!$D$2:$D$301,MATCH(B97,Mentees!$A$2:$A$301,0)),"ID not found"))</f>
        <v/>
      </c>
      <c r="D97" s="24" t="n"/>
      <c r="E97" s="24">
        <f>IF(D97="","",IFERROR(INDEX(Mentors!$D$2:$D$151,MATCH(D97,Mentors!$A$2:$A$151,0)),"ID not found"))</f>
        <v/>
      </c>
      <c r="F97" s="24">
        <f>IF(D97="","",IFERROR(INDEX(Mentors!$F$2:$F$151,MATCH(D97,Mentors!$A$2:$A$151,0))&amp;"",""))</f>
        <v/>
      </c>
      <c r="G97" s="24">
        <f>IF(D97="","",IFERROR(INDEX(Mentors!$P$2:$P$151,MATCH(D97,Mentors!$A$2:$A$151,0))&amp;"",""))</f>
        <v/>
      </c>
      <c r="H97" s="32" t="n"/>
      <c r="I97" s="32" t="n"/>
      <c r="J97" s="32" t="n"/>
      <c r="K97" s="24">
        <f>IF(B97="","",COUNT(I97:J97))</f>
        <v/>
      </c>
      <c r="L97" s="24" t="n"/>
      <c r="M97" s="24" t="n"/>
      <c r="N97" s="24" t="n"/>
      <c r="O97" s="24" t="n"/>
    </row>
    <row r="98">
      <c r="A98" s="24" t="inlineStr">
        <is>
          <t>M-097</t>
        </is>
      </c>
      <c r="B98" s="24" t="n"/>
      <c r="C98" s="24">
        <f>IF(B98="","",IFERROR(INDEX(Mentees!$D$2:$D$301,MATCH(B98,Mentees!$A$2:$A$301,0)),"ID not found"))</f>
        <v/>
      </c>
      <c r="D98" s="24" t="n"/>
      <c r="E98" s="24">
        <f>IF(D98="","",IFERROR(INDEX(Mentors!$D$2:$D$151,MATCH(D98,Mentors!$A$2:$A$151,0)),"ID not found"))</f>
        <v/>
      </c>
      <c r="F98" s="24">
        <f>IF(D98="","",IFERROR(INDEX(Mentors!$F$2:$F$151,MATCH(D98,Mentors!$A$2:$A$151,0))&amp;"",""))</f>
        <v/>
      </c>
      <c r="G98" s="24">
        <f>IF(D98="","",IFERROR(INDEX(Mentors!$P$2:$P$151,MATCH(D98,Mentors!$A$2:$A$151,0))&amp;"",""))</f>
        <v/>
      </c>
      <c r="H98" s="32" t="n"/>
      <c r="I98" s="32" t="n"/>
      <c r="J98" s="32" t="n"/>
      <c r="K98" s="24">
        <f>IF(B98="","",COUNT(I98:J98))</f>
        <v/>
      </c>
      <c r="L98" s="24" t="n"/>
      <c r="M98" s="24" t="n"/>
      <c r="N98" s="24" t="n"/>
      <c r="O98" s="24" t="n"/>
    </row>
    <row r="99">
      <c r="A99" s="24" t="inlineStr">
        <is>
          <t>M-098</t>
        </is>
      </c>
      <c r="B99" s="24" t="n"/>
      <c r="C99" s="24">
        <f>IF(B99="","",IFERROR(INDEX(Mentees!$D$2:$D$301,MATCH(B99,Mentees!$A$2:$A$301,0)),"ID not found"))</f>
        <v/>
      </c>
      <c r="D99" s="24" t="n"/>
      <c r="E99" s="24">
        <f>IF(D99="","",IFERROR(INDEX(Mentors!$D$2:$D$151,MATCH(D99,Mentors!$A$2:$A$151,0)),"ID not found"))</f>
        <v/>
      </c>
      <c r="F99" s="24">
        <f>IF(D99="","",IFERROR(INDEX(Mentors!$F$2:$F$151,MATCH(D99,Mentors!$A$2:$A$151,0))&amp;"",""))</f>
        <v/>
      </c>
      <c r="G99" s="24">
        <f>IF(D99="","",IFERROR(INDEX(Mentors!$P$2:$P$151,MATCH(D99,Mentors!$A$2:$A$151,0))&amp;"",""))</f>
        <v/>
      </c>
      <c r="H99" s="32" t="n"/>
      <c r="I99" s="32" t="n"/>
      <c r="J99" s="32" t="n"/>
      <c r="K99" s="24">
        <f>IF(B99="","",COUNT(I99:J99))</f>
        <v/>
      </c>
      <c r="L99" s="24" t="n"/>
      <c r="M99" s="24" t="n"/>
      <c r="N99" s="24" t="n"/>
      <c r="O99" s="24" t="n"/>
    </row>
    <row r="100">
      <c r="A100" s="24" t="inlineStr">
        <is>
          <t>M-099</t>
        </is>
      </c>
      <c r="B100" s="24" t="n"/>
      <c r="C100" s="24">
        <f>IF(B100="","",IFERROR(INDEX(Mentees!$D$2:$D$301,MATCH(B100,Mentees!$A$2:$A$301,0)),"ID not found"))</f>
        <v/>
      </c>
      <c r="D100" s="24" t="n"/>
      <c r="E100" s="24">
        <f>IF(D100="","",IFERROR(INDEX(Mentors!$D$2:$D$151,MATCH(D100,Mentors!$A$2:$A$151,0)),"ID not found"))</f>
        <v/>
      </c>
      <c r="F100" s="24">
        <f>IF(D100="","",IFERROR(INDEX(Mentors!$F$2:$F$151,MATCH(D100,Mentors!$A$2:$A$151,0))&amp;"",""))</f>
        <v/>
      </c>
      <c r="G100" s="24">
        <f>IF(D100="","",IFERROR(INDEX(Mentors!$P$2:$P$151,MATCH(D100,Mentors!$A$2:$A$151,0))&amp;"",""))</f>
        <v/>
      </c>
      <c r="H100" s="32" t="n"/>
      <c r="I100" s="32" t="n"/>
      <c r="J100" s="32" t="n"/>
      <c r="K100" s="24">
        <f>IF(B100="","",COUNT(I100:J100))</f>
        <v/>
      </c>
      <c r="L100" s="24" t="n"/>
      <c r="M100" s="24" t="n"/>
      <c r="N100" s="24" t="n"/>
      <c r="O100" s="24" t="n"/>
    </row>
    <row r="101">
      <c r="A101" s="24" t="inlineStr">
        <is>
          <t>M-100</t>
        </is>
      </c>
      <c r="B101" s="24" t="n"/>
      <c r="C101" s="24">
        <f>IF(B101="","",IFERROR(INDEX(Mentees!$D$2:$D$301,MATCH(B101,Mentees!$A$2:$A$301,0)),"ID not found"))</f>
        <v/>
      </c>
      <c r="D101" s="24" t="n"/>
      <c r="E101" s="24">
        <f>IF(D101="","",IFERROR(INDEX(Mentors!$D$2:$D$151,MATCH(D101,Mentors!$A$2:$A$151,0)),"ID not found"))</f>
        <v/>
      </c>
      <c r="F101" s="24">
        <f>IF(D101="","",IFERROR(INDEX(Mentors!$F$2:$F$151,MATCH(D101,Mentors!$A$2:$A$151,0))&amp;"",""))</f>
        <v/>
      </c>
      <c r="G101" s="24">
        <f>IF(D101="","",IFERROR(INDEX(Mentors!$P$2:$P$151,MATCH(D101,Mentors!$A$2:$A$151,0))&amp;"",""))</f>
        <v/>
      </c>
      <c r="H101" s="32" t="n"/>
      <c r="I101" s="32" t="n"/>
      <c r="J101" s="32" t="n"/>
      <c r="K101" s="24">
        <f>IF(B101="","",COUNT(I101:J101))</f>
        <v/>
      </c>
      <c r="L101" s="24" t="n"/>
      <c r="M101" s="24" t="n"/>
      <c r="N101" s="24" t="n"/>
      <c r="O101" s="24" t="n"/>
    </row>
    <row r="102">
      <c r="A102" s="24" t="inlineStr">
        <is>
          <t>M-101</t>
        </is>
      </c>
      <c r="B102" s="24" t="n"/>
      <c r="C102" s="24">
        <f>IF(B102="","",IFERROR(INDEX(Mentees!$D$2:$D$301,MATCH(B102,Mentees!$A$2:$A$301,0)),"ID not found"))</f>
        <v/>
      </c>
      <c r="D102" s="24" t="n"/>
      <c r="E102" s="24">
        <f>IF(D102="","",IFERROR(INDEX(Mentors!$D$2:$D$151,MATCH(D102,Mentors!$A$2:$A$151,0)),"ID not found"))</f>
        <v/>
      </c>
      <c r="F102" s="24">
        <f>IF(D102="","",IFERROR(INDEX(Mentors!$F$2:$F$151,MATCH(D102,Mentors!$A$2:$A$151,0))&amp;"",""))</f>
        <v/>
      </c>
      <c r="G102" s="24">
        <f>IF(D102="","",IFERROR(INDEX(Mentors!$P$2:$P$151,MATCH(D102,Mentors!$A$2:$A$151,0))&amp;"",""))</f>
        <v/>
      </c>
      <c r="H102" s="32" t="n"/>
      <c r="I102" s="32" t="n"/>
      <c r="J102" s="32" t="n"/>
      <c r="K102" s="24">
        <f>IF(B102="","",COUNT(I102:J102))</f>
        <v/>
      </c>
      <c r="L102" s="24" t="n"/>
      <c r="M102" s="24" t="n"/>
      <c r="N102" s="24" t="n"/>
      <c r="O102" s="24" t="n"/>
    </row>
    <row r="103">
      <c r="A103" s="24" t="inlineStr">
        <is>
          <t>M-102</t>
        </is>
      </c>
      <c r="B103" s="24" t="n"/>
      <c r="C103" s="24">
        <f>IF(B103="","",IFERROR(INDEX(Mentees!$D$2:$D$301,MATCH(B103,Mentees!$A$2:$A$301,0)),"ID not found"))</f>
        <v/>
      </c>
      <c r="D103" s="24" t="n"/>
      <c r="E103" s="24">
        <f>IF(D103="","",IFERROR(INDEX(Mentors!$D$2:$D$151,MATCH(D103,Mentors!$A$2:$A$151,0)),"ID not found"))</f>
        <v/>
      </c>
      <c r="F103" s="24">
        <f>IF(D103="","",IFERROR(INDEX(Mentors!$F$2:$F$151,MATCH(D103,Mentors!$A$2:$A$151,0))&amp;"",""))</f>
        <v/>
      </c>
      <c r="G103" s="24">
        <f>IF(D103="","",IFERROR(INDEX(Mentors!$P$2:$P$151,MATCH(D103,Mentors!$A$2:$A$151,0))&amp;"",""))</f>
        <v/>
      </c>
      <c r="H103" s="32" t="n"/>
      <c r="I103" s="32" t="n"/>
      <c r="J103" s="32" t="n"/>
      <c r="K103" s="24">
        <f>IF(B103="","",COUNT(I103:J103))</f>
        <v/>
      </c>
      <c r="L103" s="24" t="n"/>
      <c r="M103" s="24" t="n"/>
      <c r="N103" s="24" t="n"/>
      <c r="O103" s="24" t="n"/>
    </row>
    <row r="104">
      <c r="A104" s="24" t="inlineStr">
        <is>
          <t>M-103</t>
        </is>
      </c>
      <c r="B104" s="24" t="n"/>
      <c r="C104" s="24">
        <f>IF(B104="","",IFERROR(INDEX(Mentees!$D$2:$D$301,MATCH(B104,Mentees!$A$2:$A$301,0)),"ID not found"))</f>
        <v/>
      </c>
      <c r="D104" s="24" t="n"/>
      <c r="E104" s="24">
        <f>IF(D104="","",IFERROR(INDEX(Mentors!$D$2:$D$151,MATCH(D104,Mentors!$A$2:$A$151,0)),"ID not found"))</f>
        <v/>
      </c>
      <c r="F104" s="24">
        <f>IF(D104="","",IFERROR(INDEX(Mentors!$F$2:$F$151,MATCH(D104,Mentors!$A$2:$A$151,0))&amp;"",""))</f>
        <v/>
      </c>
      <c r="G104" s="24">
        <f>IF(D104="","",IFERROR(INDEX(Mentors!$P$2:$P$151,MATCH(D104,Mentors!$A$2:$A$151,0))&amp;"",""))</f>
        <v/>
      </c>
      <c r="H104" s="32" t="n"/>
      <c r="I104" s="32" t="n"/>
      <c r="J104" s="32" t="n"/>
      <c r="K104" s="24">
        <f>IF(B104="","",COUNT(I104:J104))</f>
        <v/>
      </c>
      <c r="L104" s="24" t="n"/>
      <c r="M104" s="24" t="n"/>
      <c r="N104" s="24" t="n"/>
      <c r="O104" s="24" t="n"/>
    </row>
    <row r="105">
      <c r="A105" s="24" t="inlineStr">
        <is>
          <t>M-104</t>
        </is>
      </c>
      <c r="B105" s="24" t="n"/>
      <c r="C105" s="24">
        <f>IF(B105="","",IFERROR(INDEX(Mentees!$D$2:$D$301,MATCH(B105,Mentees!$A$2:$A$301,0)),"ID not found"))</f>
        <v/>
      </c>
      <c r="D105" s="24" t="n"/>
      <c r="E105" s="24">
        <f>IF(D105="","",IFERROR(INDEX(Mentors!$D$2:$D$151,MATCH(D105,Mentors!$A$2:$A$151,0)),"ID not found"))</f>
        <v/>
      </c>
      <c r="F105" s="24">
        <f>IF(D105="","",IFERROR(INDEX(Mentors!$F$2:$F$151,MATCH(D105,Mentors!$A$2:$A$151,0))&amp;"",""))</f>
        <v/>
      </c>
      <c r="G105" s="24">
        <f>IF(D105="","",IFERROR(INDEX(Mentors!$P$2:$P$151,MATCH(D105,Mentors!$A$2:$A$151,0))&amp;"",""))</f>
        <v/>
      </c>
      <c r="H105" s="32" t="n"/>
      <c r="I105" s="32" t="n"/>
      <c r="J105" s="32" t="n"/>
      <c r="K105" s="24">
        <f>IF(B105="","",COUNT(I105:J105))</f>
        <v/>
      </c>
      <c r="L105" s="24" t="n"/>
      <c r="M105" s="24" t="n"/>
      <c r="N105" s="24" t="n"/>
      <c r="O105" s="24" t="n"/>
    </row>
    <row r="106">
      <c r="A106" s="24" t="inlineStr">
        <is>
          <t>M-105</t>
        </is>
      </c>
      <c r="B106" s="24" t="n"/>
      <c r="C106" s="24">
        <f>IF(B106="","",IFERROR(INDEX(Mentees!$D$2:$D$301,MATCH(B106,Mentees!$A$2:$A$301,0)),"ID not found"))</f>
        <v/>
      </c>
      <c r="D106" s="24" t="n"/>
      <c r="E106" s="24">
        <f>IF(D106="","",IFERROR(INDEX(Mentors!$D$2:$D$151,MATCH(D106,Mentors!$A$2:$A$151,0)),"ID not found"))</f>
        <v/>
      </c>
      <c r="F106" s="24">
        <f>IF(D106="","",IFERROR(INDEX(Mentors!$F$2:$F$151,MATCH(D106,Mentors!$A$2:$A$151,0))&amp;"",""))</f>
        <v/>
      </c>
      <c r="G106" s="24">
        <f>IF(D106="","",IFERROR(INDEX(Mentors!$P$2:$P$151,MATCH(D106,Mentors!$A$2:$A$151,0))&amp;"",""))</f>
        <v/>
      </c>
      <c r="H106" s="32" t="n"/>
      <c r="I106" s="32" t="n"/>
      <c r="J106" s="32" t="n"/>
      <c r="K106" s="24">
        <f>IF(B106="","",COUNT(I106:J106))</f>
        <v/>
      </c>
      <c r="L106" s="24" t="n"/>
      <c r="M106" s="24" t="n"/>
      <c r="N106" s="24" t="n"/>
      <c r="O106" s="24" t="n"/>
    </row>
    <row r="107">
      <c r="A107" s="24" t="inlineStr">
        <is>
          <t>M-106</t>
        </is>
      </c>
      <c r="B107" s="24" t="n"/>
      <c r="C107" s="24">
        <f>IF(B107="","",IFERROR(INDEX(Mentees!$D$2:$D$301,MATCH(B107,Mentees!$A$2:$A$301,0)),"ID not found"))</f>
        <v/>
      </c>
      <c r="D107" s="24" t="n"/>
      <c r="E107" s="24">
        <f>IF(D107="","",IFERROR(INDEX(Mentors!$D$2:$D$151,MATCH(D107,Mentors!$A$2:$A$151,0)),"ID not found"))</f>
        <v/>
      </c>
      <c r="F107" s="24">
        <f>IF(D107="","",IFERROR(INDEX(Mentors!$F$2:$F$151,MATCH(D107,Mentors!$A$2:$A$151,0))&amp;"",""))</f>
        <v/>
      </c>
      <c r="G107" s="24">
        <f>IF(D107="","",IFERROR(INDEX(Mentors!$P$2:$P$151,MATCH(D107,Mentors!$A$2:$A$151,0))&amp;"",""))</f>
        <v/>
      </c>
      <c r="H107" s="32" t="n"/>
      <c r="I107" s="32" t="n"/>
      <c r="J107" s="32" t="n"/>
      <c r="K107" s="24">
        <f>IF(B107="","",COUNT(I107:J107))</f>
        <v/>
      </c>
      <c r="L107" s="24" t="n"/>
      <c r="M107" s="24" t="n"/>
      <c r="N107" s="24" t="n"/>
      <c r="O107" s="24" t="n"/>
    </row>
    <row r="108">
      <c r="A108" s="24" t="inlineStr">
        <is>
          <t>M-107</t>
        </is>
      </c>
      <c r="B108" s="24" t="n"/>
      <c r="C108" s="24">
        <f>IF(B108="","",IFERROR(INDEX(Mentees!$D$2:$D$301,MATCH(B108,Mentees!$A$2:$A$301,0)),"ID not found"))</f>
        <v/>
      </c>
      <c r="D108" s="24" t="n"/>
      <c r="E108" s="24">
        <f>IF(D108="","",IFERROR(INDEX(Mentors!$D$2:$D$151,MATCH(D108,Mentors!$A$2:$A$151,0)),"ID not found"))</f>
        <v/>
      </c>
      <c r="F108" s="24">
        <f>IF(D108="","",IFERROR(INDEX(Mentors!$F$2:$F$151,MATCH(D108,Mentors!$A$2:$A$151,0))&amp;"",""))</f>
        <v/>
      </c>
      <c r="G108" s="24">
        <f>IF(D108="","",IFERROR(INDEX(Mentors!$P$2:$P$151,MATCH(D108,Mentors!$A$2:$A$151,0))&amp;"",""))</f>
        <v/>
      </c>
      <c r="H108" s="32" t="n"/>
      <c r="I108" s="32" t="n"/>
      <c r="J108" s="32" t="n"/>
      <c r="K108" s="24">
        <f>IF(B108="","",COUNT(I108:J108))</f>
        <v/>
      </c>
      <c r="L108" s="24" t="n"/>
      <c r="M108" s="24" t="n"/>
      <c r="N108" s="24" t="n"/>
      <c r="O108" s="24" t="n"/>
    </row>
    <row r="109">
      <c r="A109" s="24" t="inlineStr">
        <is>
          <t>M-108</t>
        </is>
      </c>
      <c r="B109" s="24" t="n"/>
      <c r="C109" s="24">
        <f>IF(B109="","",IFERROR(INDEX(Mentees!$D$2:$D$301,MATCH(B109,Mentees!$A$2:$A$301,0)),"ID not found"))</f>
        <v/>
      </c>
      <c r="D109" s="24" t="n"/>
      <c r="E109" s="24">
        <f>IF(D109="","",IFERROR(INDEX(Mentors!$D$2:$D$151,MATCH(D109,Mentors!$A$2:$A$151,0)),"ID not found"))</f>
        <v/>
      </c>
      <c r="F109" s="24">
        <f>IF(D109="","",IFERROR(INDEX(Mentors!$F$2:$F$151,MATCH(D109,Mentors!$A$2:$A$151,0))&amp;"",""))</f>
        <v/>
      </c>
      <c r="G109" s="24">
        <f>IF(D109="","",IFERROR(INDEX(Mentors!$P$2:$P$151,MATCH(D109,Mentors!$A$2:$A$151,0))&amp;"",""))</f>
        <v/>
      </c>
      <c r="H109" s="32" t="n"/>
      <c r="I109" s="32" t="n"/>
      <c r="J109" s="32" t="n"/>
      <c r="K109" s="24">
        <f>IF(B109="","",COUNT(I109:J109))</f>
        <v/>
      </c>
      <c r="L109" s="24" t="n"/>
      <c r="M109" s="24" t="n"/>
      <c r="N109" s="24" t="n"/>
      <c r="O109" s="24" t="n"/>
    </row>
    <row r="110">
      <c r="A110" s="24" t="inlineStr">
        <is>
          <t>M-109</t>
        </is>
      </c>
      <c r="B110" s="24" t="n"/>
      <c r="C110" s="24">
        <f>IF(B110="","",IFERROR(INDEX(Mentees!$D$2:$D$301,MATCH(B110,Mentees!$A$2:$A$301,0)),"ID not found"))</f>
        <v/>
      </c>
      <c r="D110" s="24" t="n"/>
      <c r="E110" s="24">
        <f>IF(D110="","",IFERROR(INDEX(Mentors!$D$2:$D$151,MATCH(D110,Mentors!$A$2:$A$151,0)),"ID not found"))</f>
        <v/>
      </c>
      <c r="F110" s="24">
        <f>IF(D110="","",IFERROR(INDEX(Mentors!$F$2:$F$151,MATCH(D110,Mentors!$A$2:$A$151,0))&amp;"",""))</f>
        <v/>
      </c>
      <c r="G110" s="24">
        <f>IF(D110="","",IFERROR(INDEX(Mentors!$P$2:$P$151,MATCH(D110,Mentors!$A$2:$A$151,0))&amp;"",""))</f>
        <v/>
      </c>
      <c r="H110" s="32" t="n"/>
      <c r="I110" s="32" t="n"/>
      <c r="J110" s="32" t="n"/>
      <c r="K110" s="24">
        <f>IF(B110="","",COUNT(I110:J110))</f>
        <v/>
      </c>
      <c r="L110" s="24" t="n"/>
      <c r="M110" s="24" t="n"/>
      <c r="N110" s="24" t="n"/>
      <c r="O110" s="24" t="n"/>
    </row>
    <row r="111">
      <c r="A111" s="24" t="inlineStr">
        <is>
          <t>M-110</t>
        </is>
      </c>
      <c r="B111" s="24" t="n"/>
      <c r="C111" s="24">
        <f>IF(B111="","",IFERROR(INDEX(Mentees!$D$2:$D$301,MATCH(B111,Mentees!$A$2:$A$301,0)),"ID not found"))</f>
        <v/>
      </c>
      <c r="D111" s="24" t="n"/>
      <c r="E111" s="24">
        <f>IF(D111="","",IFERROR(INDEX(Mentors!$D$2:$D$151,MATCH(D111,Mentors!$A$2:$A$151,0)),"ID not found"))</f>
        <v/>
      </c>
      <c r="F111" s="24">
        <f>IF(D111="","",IFERROR(INDEX(Mentors!$F$2:$F$151,MATCH(D111,Mentors!$A$2:$A$151,0))&amp;"",""))</f>
        <v/>
      </c>
      <c r="G111" s="24">
        <f>IF(D111="","",IFERROR(INDEX(Mentors!$P$2:$P$151,MATCH(D111,Mentors!$A$2:$A$151,0))&amp;"",""))</f>
        <v/>
      </c>
      <c r="H111" s="32" t="n"/>
      <c r="I111" s="32" t="n"/>
      <c r="J111" s="32" t="n"/>
      <c r="K111" s="24">
        <f>IF(B111="","",COUNT(I111:J111))</f>
        <v/>
      </c>
      <c r="L111" s="24" t="n"/>
      <c r="M111" s="24" t="n"/>
      <c r="N111" s="24" t="n"/>
      <c r="O111" s="24" t="n"/>
    </row>
    <row r="112">
      <c r="A112" s="24" t="inlineStr">
        <is>
          <t>M-111</t>
        </is>
      </c>
      <c r="B112" s="24" t="n"/>
      <c r="C112" s="24">
        <f>IF(B112="","",IFERROR(INDEX(Mentees!$D$2:$D$301,MATCH(B112,Mentees!$A$2:$A$301,0)),"ID not found"))</f>
        <v/>
      </c>
      <c r="D112" s="24" t="n"/>
      <c r="E112" s="24">
        <f>IF(D112="","",IFERROR(INDEX(Mentors!$D$2:$D$151,MATCH(D112,Mentors!$A$2:$A$151,0)),"ID not found"))</f>
        <v/>
      </c>
      <c r="F112" s="24">
        <f>IF(D112="","",IFERROR(INDEX(Mentors!$F$2:$F$151,MATCH(D112,Mentors!$A$2:$A$151,0))&amp;"",""))</f>
        <v/>
      </c>
      <c r="G112" s="24">
        <f>IF(D112="","",IFERROR(INDEX(Mentors!$P$2:$P$151,MATCH(D112,Mentors!$A$2:$A$151,0))&amp;"",""))</f>
        <v/>
      </c>
      <c r="H112" s="32" t="n"/>
      <c r="I112" s="32" t="n"/>
      <c r="J112" s="32" t="n"/>
      <c r="K112" s="24">
        <f>IF(B112="","",COUNT(I112:J112))</f>
        <v/>
      </c>
      <c r="L112" s="24" t="n"/>
      <c r="M112" s="24" t="n"/>
      <c r="N112" s="24" t="n"/>
      <c r="O112" s="24" t="n"/>
    </row>
    <row r="113">
      <c r="A113" s="24" t="inlineStr">
        <is>
          <t>M-112</t>
        </is>
      </c>
      <c r="B113" s="24" t="n"/>
      <c r="C113" s="24">
        <f>IF(B113="","",IFERROR(INDEX(Mentees!$D$2:$D$301,MATCH(B113,Mentees!$A$2:$A$301,0)),"ID not found"))</f>
        <v/>
      </c>
      <c r="D113" s="24" t="n"/>
      <c r="E113" s="24">
        <f>IF(D113="","",IFERROR(INDEX(Mentors!$D$2:$D$151,MATCH(D113,Mentors!$A$2:$A$151,0)),"ID not found"))</f>
        <v/>
      </c>
      <c r="F113" s="24">
        <f>IF(D113="","",IFERROR(INDEX(Mentors!$F$2:$F$151,MATCH(D113,Mentors!$A$2:$A$151,0))&amp;"",""))</f>
        <v/>
      </c>
      <c r="G113" s="24">
        <f>IF(D113="","",IFERROR(INDEX(Mentors!$P$2:$P$151,MATCH(D113,Mentors!$A$2:$A$151,0))&amp;"",""))</f>
        <v/>
      </c>
      <c r="H113" s="32" t="n"/>
      <c r="I113" s="32" t="n"/>
      <c r="J113" s="32" t="n"/>
      <c r="K113" s="24">
        <f>IF(B113="","",COUNT(I113:J113))</f>
        <v/>
      </c>
      <c r="L113" s="24" t="n"/>
      <c r="M113" s="24" t="n"/>
      <c r="N113" s="24" t="n"/>
      <c r="O113" s="24" t="n"/>
    </row>
    <row r="114">
      <c r="A114" s="24" t="inlineStr">
        <is>
          <t>M-113</t>
        </is>
      </c>
      <c r="B114" s="24" t="n"/>
      <c r="C114" s="24">
        <f>IF(B114="","",IFERROR(INDEX(Mentees!$D$2:$D$301,MATCH(B114,Mentees!$A$2:$A$301,0)),"ID not found"))</f>
        <v/>
      </c>
      <c r="D114" s="24" t="n"/>
      <c r="E114" s="24">
        <f>IF(D114="","",IFERROR(INDEX(Mentors!$D$2:$D$151,MATCH(D114,Mentors!$A$2:$A$151,0)),"ID not found"))</f>
        <v/>
      </c>
      <c r="F114" s="24">
        <f>IF(D114="","",IFERROR(INDEX(Mentors!$F$2:$F$151,MATCH(D114,Mentors!$A$2:$A$151,0))&amp;"",""))</f>
        <v/>
      </c>
      <c r="G114" s="24">
        <f>IF(D114="","",IFERROR(INDEX(Mentors!$P$2:$P$151,MATCH(D114,Mentors!$A$2:$A$151,0))&amp;"",""))</f>
        <v/>
      </c>
      <c r="H114" s="32" t="n"/>
      <c r="I114" s="32" t="n"/>
      <c r="J114" s="32" t="n"/>
      <c r="K114" s="24">
        <f>IF(B114="","",COUNT(I114:J114))</f>
        <v/>
      </c>
      <c r="L114" s="24" t="n"/>
      <c r="M114" s="24" t="n"/>
      <c r="N114" s="24" t="n"/>
      <c r="O114" s="24" t="n"/>
    </row>
    <row r="115">
      <c r="A115" s="24" t="inlineStr">
        <is>
          <t>M-114</t>
        </is>
      </c>
      <c r="B115" s="24" t="n"/>
      <c r="C115" s="24">
        <f>IF(B115="","",IFERROR(INDEX(Mentees!$D$2:$D$301,MATCH(B115,Mentees!$A$2:$A$301,0)),"ID not found"))</f>
        <v/>
      </c>
      <c r="D115" s="24" t="n"/>
      <c r="E115" s="24">
        <f>IF(D115="","",IFERROR(INDEX(Mentors!$D$2:$D$151,MATCH(D115,Mentors!$A$2:$A$151,0)),"ID not found"))</f>
        <v/>
      </c>
      <c r="F115" s="24">
        <f>IF(D115="","",IFERROR(INDEX(Mentors!$F$2:$F$151,MATCH(D115,Mentors!$A$2:$A$151,0))&amp;"",""))</f>
        <v/>
      </c>
      <c r="G115" s="24">
        <f>IF(D115="","",IFERROR(INDEX(Mentors!$P$2:$P$151,MATCH(D115,Mentors!$A$2:$A$151,0))&amp;"",""))</f>
        <v/>
      </c>
      <c r="H115" s="32" t="n"/>
      <c r="I115" s="32" t="n"/>
      <c r="J115" s="32" t="n"/>
      <c r="K115" s="24">
        <f>IF(B115="","",COUNT(I115:J115))</f>
        <v/>
      </c>
      <c r="L115" s="24" t="n"/>
      <c r="M115" s="24" t="n"/>
      <c r="N115" s="24" t="n"/>
      <c r="O115" s="24" t="n"/>
    </row>
    <row r="116">
      <c r="A116" s="24" t="inlineStr">
        <is>
          <t>M-115</t>
        </is>
      </c>
      <c r="B116" s="24" t="n"/>
      <c r="C116" s="24">
        <f>IF(B116="","",IFERROR(INDEX(Mentees!$D$2:$D$301,MATCH(B116,Mentees!$A$2:$A$301,0)),"ID not found"))</f>
        <v/>
      </c>
      <c r="D116" s="24" t="n"/>
      <c r="E116" s="24">
        <f>IF(D116="","",IFERROR(INDEX(Mentors!$D$2:$D$151,MATCH(D116,Mentors!$A$2:$A$151,0)),"ID not found"))</f>
        <v/>
      </c>
      <c r="F116" s="24">
        <f>IF(D116="","",IFERROR(INDEX(Mentors!$F$2:$F$151,MATCH(D116,Mentors!$A$2:$A$151,0))&amp;"",""))</f>
        <v/>
      </c>
      <c r="G116" s="24">
        <f>IF(D116="","",IFERROR(INDEX(Mentors!$P$2:$P$151,MATCH(D116,Mentors!$A$2:$A$151,0))&amp;"",""))</f>
        <v/>
      </c>
      <c r="H116" s="32" t="n"/>
      <c r="I116" s="32" t="n"/>
      <c r="J116" s="32" t="n"/>
      <c r="K116" s="24">
        <f>IF(B116="","",COUNT(I116:J116))</f>
        <v/>
      </c>
      <c r="L116" s="24" t="n"/>
      <c r="M116" s="24" t="n"/>
      <c r="N116" s="24" t="n"/>
      <c r="O116" s="24" t="n"/>
    </row>
    <row r="117">
      <c r="A117" s="24" t="inlineStr">
        <is>
          <t>M-116</t>
        </is>
      </c>
      <c r="B117" s="24" t="n"/>
      <c r="C117" s="24">
        <f>IF(B117="","",IFERROR(INDEX(Mentees!$D$2:$D$301,MATCH(B117,Mentees!$A$2:$A$301,0)),"ID not found"))</f>
        <v/>
      </c>
      <c r="D117" s="24" t="n"/>
      <c r="E117" s="24">
        <f>IF(D117="","",IFERROR(INDEX(Mentors!$D$2:$D$151,MATCH(D117,Mentors!$A$2:$A$151,0)),"ID not found"))</f>
        <v/>
      </c>
      <c r="F117" s="24">
        <f>IF(D117="","",IFERROR(INDEX(Mentors!$F$2:$F$151,MATCH(D117,Mentors!$A$2:$A$151,0))&amp;"",""))</f>
        <v/>
      </c>
      <c r="G117" s="24">
        <f>IF(D117="","",IFERROR(INDEX(Mentors!$P$2:$P$151,MATCH(D117,Mentors!$A$2:$A$151,0))&amp;"",""))</f>
        <v/>
      </c>
      <c r="H117" s="32" t="n"/>
      <c r="I117" s="32" t="n"/>
      <c r="J117" s="32" t="n"/>
      <c r="K117" s="24">
        <f>IF(B117="","",COUNT(I117:J117))</f>
        <v/>
      </c>
      <c r="L117" s="24" t="n"/>
      <c r="M117" s="24" t="n"/>
      <c r="N117" s="24" t="n"/>
      <c r="O117" s="24" t="n"/>
    </row>
    <row r="118">
      <c r="A118" s="24" t="inlineStr">
        <is>
          <t>M-117</t>
        </is>
      </c>
      <c r="B118" s="24" t="n"/>
      <c r="C118" s="24">
        <f>IF(B118="","",IFERROR(INDEX(Mentees!$D$2:$D$301,MATCH(B118,Mentees!$A$2:$A$301,0)),"ID not found"))</f>
        <v/>
      </c>
      <c r="D118" s="24" t="n"/>
      <c r="E118" s="24">
        <f>IF(D118="","",IFERROR(INDEX(Mentors!$D$2:$D$151,MATCH(D118,Mentors!$A$2:$A$151,0)),"ID not found"))</f>
        <v/>
      </c>
      <c r="F118" s="24">
        <f>IF(D118="","",IFERROR(INDEX(Mentors!$F$2:$F$151,MATCH(D118,Mentors!$A$2:$A$151,0))&amp;"",""))</f>
        <v/>
      </c>
      <c r="G118" s="24">
        <f>IF(D118="","",IFERROR(INDEX(Mentors!$P$2:$P$151,MATCH(D118,Mentors!$A$2:$A$151,0))&amp;"",""))</f>
        <v/>
      </c>
      <c r="H118" s="32" t="n"/>
      <c r="I118" s="32" t="n"/>
      <c r="J118" s="32" t="n"/>
      <c r="K118" s="24">
        <f>IF(B118="","",COUNT(I118:J118))</f>
        <v/>
      </c>
      <c r="L118" s="24" t="n"/>
      <c r="M118" s="24" t="n"/>
      <c r="N118" s="24" t="n"/>
      <c r="O118" s="24" t="n"/>
    </row>
    <row r="119">
      <c r="A119" s="24" t="inlineStr">
        <is>
          <t>M-118</t>
        </is>
      </c>
      <c r="B119" s="24" t="n"/>
      <c r="C119" s="24">
        <f>IF(B119="","",IFERROR(INDEX(Mentees!$D$2:$D$301,MATCH(B119,Mentees!$A$2:$A$301,0)),"ID not found"))</f>
        <v/>
      </c>
      <c r="D119" s="24" t="n"/>
      <c r="E119" s="24">
        <f>IF(D119="","",IFERROR(INDEX(Mentors!$D$2:$D$151,MATCH(D119,Mentors!$A$2:$A$151,0)),"ID not found"))</f>
        <v/>
      </c>
      <c r="F119" s="24">
        <f>IF(D119="","",IFERROR(INDEX(Mentors!$F$2:$F$151,MATCH(D119,Mentors!$A$2:$A$151,0))&amp;"",""))</f>
        <v/>
      </c>
      <c r="G119" s="24">
        <f>IF(D119="","",IFERROR(INDEX(Mentors!$P$2:$P$151,MATCH(D119,Mentors!$A$2:$A$151,0))&amp;"",""))</f>
        <v/>
      </c>
      <c r="H119" s="32" t="n"/>
      <c r="I119" s="32" t="n"/>
      <c r="J119" s="32" t="n"/>
      <c r="K119" s="24">
        <f>IF(B119="","",COUNT(I119:J119))</f>
        <v/>
      </c>
      <c r="L119" s="24" t="n"/>
      <c r="M119" s="24" t="n"/>
      <c r="N119" s="24" t="n"/>
      <c r="O119" s="24" t="n"/>
    </row>
    <row r="120">
      <c r="A120" s="24" t="inlineStr">
        <is>
          <t>M-119</t>
        </is>
      </c>
      <c r="B120" s="24" t="n"/>
      <c r="C120" s="24">
        <f>IF(B120="","",IFERROR(INDEX(Mentees!$D$2:$D$301,MATCH(B120,Mentees!$A$2:$A$301,0)),"ID not found"))</f>
        <v/>
      </c>
      <c r="D120" s="24" t="n"/>
      <c r="E120" s="24">
        <f>IF(D120="","",IFERROR(INDEX(Mentors!$D$2:$D$151,MATCH(D120,Mentors!$A$2:$A$151,0)),"ID not found"))</f>
        <v/>
      </c>
      <c r="F120" s="24">
        <f>IF(D120="","",IFERROR(INDEX(Mentors!$F$2:$F$151,MATCH(D120,Mentors!$A$2:$A$151,0))&amp;"",""))</f>
        <v/>
      </c>
      <c r="G120" s="24">
        <f>IF(D120="","",IFERROR(INDEX(Mentors!$P$2:$P$151,MATCH(D120,Mentors!$A$2:$A$151,0))&amp;"",""))</f>
        <v/>
      </c>
      <c r="H120" s="32" t="n"/>
      <c r="I120" s="32" t="n"/>
      <c r="J120" s="32" t="n"/>
      <c r="K120" s="24">
        <f>IF(B120="","",COUNT(I120:J120))</f>
        <v/>
      </c>
      <c r="L120" s="24" t="n"/>
      <c r="M120" s="24" t="n"/>
      <c r="N120" s="24" t="n"/>
      <c r="O120" s="24" t="n"/>
    </row>
    <row r="121">
      <c r="A121" s="24" t="inlineStr">
        <is>
          <t>M-120</t>
        </is>
      </c>
      <c r="B121" s="24" t="n"/>
      <c r="C121" s="24">
        <f>IF(B121="","",IFERROR(INDEX(Mentees!$D$2:$D$301,MATCH(B121,Mentees!$A$2:$A$301,0)),"ID not found"))</f>
        <v/>
      </c>
      <c r="D121" s="24" t="n"/>
      <c r="E121" s="24">
        <f>IF(D121="","",IFERROR(INDEX(Mentors!$D$2:$D$151,MATCH(D121,Mentors!$A$2:$A$151,0)),"ID not found"))</f>
        <v/>
      </c>
      <c r="F121" s="24">
        <f>IF(D121="","",IFERROR(INDEX(Mentors!$F$2:$F$151,MATCH(D121,Mentors!$A$2:$A$151,0))&amp;"",""))</f>
        <v/>
      </c>
      <c r="G121" s="24">
        <f>IF(D121="","",IFERROR(INDEX(Mentors!$P$2:$P$151,MATCH(D121,Mentors!$A$2:$A$151,0))&amp;"",""))</f>
        <v/>
      </c>
      <c r="H121" s="32" t="n"/>
      <c r="I121" s="32" t="n"/>
      <c r="J121" s="32" t="n"/>
      <c r="K121" s="24">
        <f>IF(B121="","",COUNT(I121:J121))</f>
        <v/>
      </c>
      <c r="L121" s="24" t="n"/>
      <c r="M121" s="24" t="n"/>
      <c r="N121" s="24" t="n"/>
      <c r="O121" s="24" t="n"/>
    </row>
    <row r="122">
      <c r="A122" s="24" t="inlineStr">
        <is>
          <t>M-121</t>
        </is>
      </c>
      <c r="B122" s="24" t="n"/>
      <c r="C122" s="24">
        <f>IF(B122="","",IFERROR(INDEX(Mentees!$D$2:$D$301,MATCH(B122,Mentees!$A$2:$A$301,0)),"ID not found"))</f>
        <v/>
      </c>
      <c r="D122" s="24" t="n"/>
      <c r="E122" s="24">
        <f>IF(D122="","",IFERROR(INDEX(Mentors!$D$2:$D$151,MATCH(D122,Mentors!$A$2:$A$151,0)),"ID not found"))</f>
        <v/>
      </c>
      <c r="F122" s="24">
        <f>IF(D122="","",IFERROR(INDEX(Mentors!$F$2:$F$151,MATCH(D122,Mentors!$A$2:$A$151,0))&amp;"",""))</f>
        <v/>
      </c>
      <c r="G122" s="24">
        <f>IF(D122="","",IFERROR(INDEX(Mentors!$P$2:$P$151,MATCH(D122,Mentors!$A$2:$A$151,0))&amp;"",""))</f>
        <v/>
      </c>
      <c r="H122" s="32" t="n"/>
      <c r="I122" s="32" t="n"/>
      <c r="J122" s="32" t="n"/>
      <c r="K122" s="24">
        <f>IF(B122="","",COUNT(I122:J122))</f>
        <v/>
      </c>
      <c r="L122" s="24" t="n"/>
      <c r="M122" s="24" t="n"/>
      <c r="N122" s="24" t="n"/>
      <c r="O122" s="24" t="n"/>
    </row>
    <row r="123">
      <c r="A123" s="24" t="inlineStr">
        <is>
          <t>M-122</t>
        </is>
      </c>
      <c r="B123" s="24" t="n"/>
      <c r="C123" s="24">
        <f>IF(B123="","",IFERROR(INDEX(Mentees!$D$2:$D$301,MATCH(B123,Mentees!$A$2:$A$301,0)),"ID not found"))</f>
        <v/>
      </c>
      <c r="D123" s="24" t="n"/>
      <c r="E123" s="24">
        <f>IF(D123="","",IFERROR(INDEX(Mentors!$D$2:$D$151,MATCH(D123,Mentors!$A$2:$A$151,0)),"ID not found"))</f>
        <v/>
      </c>
      <c r="F123" s="24">
        <f>IF(D123="","",IFERROR(INDEX(Mentors!$F$2:$F$151,MATCH(D123,Mentors!$A$2:$A$151,0))&amp;"",""))</f>
        <v/>
      </c>
      <c r="G123" s="24">
        <f>IF(D123="","",IFERROR(INDEX(Mentors!$P$2:$P$151,MATCH(D123,Mentors!$A$2:$A$151,0))&amp;"",""))</f>
        <v/>
      </c>
      <c r="H123" s="32" t="n"/>
      <c r="I123" s="32" t="n"/>
      <c r="J123" s="32" t="n"/>
      <c r="K123" s="24">
        <f>IF(B123="","",COUNT(I123:J123))</f>
        <v/>
      </c>
      <c r="L123" s="24" t="n"/>
      <c r="M123" s="24" t="n"/>
      <c r="N123" s="24" t="n"/>
      <c r="O123" s="24" t="n"/>
    </row>
    <row r="124">
      <c r="A124" s="24" t="inlineStr">
        <is>
          <t>M-123</t>
        </is>
      </c>
      <c r="B124" s="24" t="n"/>
      <c r="C124" s="24">
        <f>IF(B124="","",IFERROR(INDEX(Mentees!$D$2:$D$301,MATCH(B124,Mentees!$A$2:$A$301,0)),"ID not found"))</f>
        <v/>
      </c>
      <c r="D124" s="24" t="n"/>
      <c r="E124" s="24">
        <f>IF(D124="","",IFERROR(INDEX(Mentors!$D$2:$D$151,MATCH(D124,Mentors!$A$2:$A$151,0)),"ID not found"))</f>
        <v/>
      </c>
      <c r="F124" s="24">
        <f>IF(D124="","",IFERROR(INDEX(Mentors!$F$2:$F$151,MATCH(D124,Mentors!$A$2:$A$151,0))&amp;"",""))</f>
        <v/>
      </c>
      <c r="G124" s="24">
        <f>IF(D124="","",IFERROR(INDEX(Mentors!$P$2:$P$151,MATCH(D124,Mentors!$A$2:$A$151,0))&amp;"",""))</f>
        <v/>
      </c>
      <c r="H124" s="32" t="n"/>
      <c r="I124" s="32" t="n"/>
      <c r="J124" s="32" t="n"/>
      <c r="K124" s="24">
        <f>IF(B124="","",COUNT(I124:J124))</f>
        <v/>
      </c>
      <c r="L124" s="24" t="n"/>
      <c r="M124" s="24" t="n"/>
      <c r="N124" s="24" t="n"/>
      <c r="O124" s="24" t="n"/>
    </row>
    <row r="125">
      <c r="A125" s="24" t="inlineStr">
        <is>
          <t>M-124</t>
        </is>
      </c>
      <c r="B125" s="24" t="n"/>
      <c r="C125" s="24">
        <f>IF(B125="","",IFERROR(INDEX(Mentees!$D$2:$D$301,MATCH(B125,Mentees!$A$2:$A$301,0)),"ID not found"))</f>
        <v/>
      </c>
      <c r="D125" s="24" t="n"/>
      <c r="E125" s="24">
        <f>IF(D125="","",IFERROR(INDEX(Mentors!$D$2:$D$151,MATCH(D125,Mentors!$A$2:$A$151,0)),"ID not found"))</f>
        <v/>
      </c>
      <c r="F125" s="24">
        <f>IF(D125="","",IFERROR(INDEX(Mentors!$F$2:$F$151,MATCH(D125,Mentors!$A$2:$A$151,0))&amp;"",""))</f>
        <v/>
      </c>
      <c r="G125" s="24">
        <f>IF(D125="","",IFERROR(INDEX(Mentors!$P$2:$P$151,MATCH(D125,Mentors!$A$2:$A$151,0))&amp;"",""))</f>
        <v/>
      </c>
      <c r="H125" s="32" t="n"/>
      <c r="I125" s="32" t="n"/>
      <c r="J125" s="32" t="n"/>
      <c r="K125" s="24">
        <f>IF(B125="","",COUNT(I125:J125))</f>
        <v/>
      </c>
      <c r="L125" s="24" t="n"/>
      <c r="M125" s="24" t="n"/>
      <c r="N125" s="24" t="n"/>
      <c r="O125" s="24" t="n"/>
    </row>
    <row r="126">
      <c r="A126" s="24" t="inlineStr">
        <is>
          <t>M-125</t>
        </is>
      </c>
      <c r="B126" s="24" t="n"/>
      <c r="C126" s="24">
        <f>IF(B126="","",IFERROR(INDEX(Mentees!$D$2:$D$301,MATCH(B126,Mentees!$A$2:$A$301,0)),"ID not found"))</f>
        <v/>
      </c>
      <c r="D126" s="24" t="n"/>
      <c r="E126" s="24">
        <f>IF(D126="","",IFERROR(INDEX(Mentors!$D$2:$D$151,MATCH(D126,Mentors!$A$2:$A$151,0)),"ID not found"))</f>
        <v/>
      </c>
      <c r="F126" s="24">
        <f>IF(D126="","",IFERROR(INDEX(Mentors!$F$2:$F$151,MATCH(D126,Mentors!$A$2:$A$151,0))&amp;"",""))</f>
        <v/>
      </c>
      <c r="G126" s="24">
        <f>IF(D126="","",IFERROR(INDEX(Mentors!$P$2:$P$151,MATCH(D126,Mentors!$A$2:$A$151,0))&amp;"",""))</f>
        <v/>
      </c>
      <c r="H126" s="32" t="n"/>
      <c r="I126" s="32" t="n"/>
      <c r="J126" s="32" t="n"/>
      <c r="K126" s="24">
        <f>IF(B126="","",COUNT(I126:J126))</f>
        <v/>
      </c>
      <c r="L126" s="24" t="n"/>
      <c r="M126" s="24" t="n"/>
      <c r="N126" s="24" t="n"/>
      <c r="O126" s="24" t="n"/>
    </row>
    <row r="127">
      <c r="A127" s="24" t="inlineStr">
        <is>
          <t>M-126</t>
        </is>
      </c>
      <c r="B127" s="24" t="n"/>
      <c r="C127" s="24">
        <f>IF(B127="","",IFERROR(INDEX(Mentees!$D$2:$D$301,MATCH(B127,Mentees!$A$2:$A$301,0)),"ID not found"))</f>
        <v/>
      </c>
      <c r="D127" s="24" t="n"/>
      <c r="E127" s="24">
        <f>IF(D127="","",IFERROR(INDEX(Mentors!$D$2:$D$151,MATCH(D127,Mentors!$A$2:$A$151,0)),"ID not found"))</f>
        <v/>
      </c>
      <c r="F127" s="24">
        <f>IF(D127="","",IFERROR(INDEX(Mentors!$F$2:$F$151,MATCH(D127,Mentors!$A$2:$A$151,0))&amp;"",""))</f>
        <v/>
      </c>
      <c r="G127" s="24">
        <f>IF(D127="","",IFERROR(INDEX(Mentors!$P$2:$P$151,MATCH(D127,Mentors!$A$2:$A$151,0))&amp;"",""))</f>
        <v/>
      </c>
      <c r="H127" s="32" t="n"/>
      <c r="I127" s="32" t="n"/>
      <c r="J127" s="32" t="n"/>
      <c r="K127" s="24">
        <f>IF(B127="","",COUNT(I127:J127))</f>
        <v/>
      </c>
      <c r="L127" s="24" t="n"/>
      <c r="M127" s="24" t="n"/>
      <c r="N127" s="24" t="n"/>
      <c r="O127" s="24" t="n"/>
    </row>
    <row r="128">
      <c r="A128" s="24" t="inlineStr">
        <is>
          <t>M-127</t>
        </is>
      </c>
      <c r="B128" s="24" t="n"/>
      <c r="C128" s="24">
        <f>IF(B128="","",IFERROR(INDEX(Mentees!$D$2:$D$301,MATCH(B128,Mentees!$A$2:$A$301,0)),"ID not found"))</f>
        <v/>
      </c>
      <c r="D128" s="24" t="n"/>
      <c r="E128" s="24">
        <f>IF(D128="","",IFERROR(INDEX(Mentors!$D$2:$D$151,MATCH(D128,Mentors!$A$2:$A$151,0)),"ID not found"))</f>
        <v/>
      </c>
      <c r="F128" s="24">
        <f>IF(D128="","",IFERROR(INDEX(Mentors!$F$2:$F$151,MATCH(D128,Mentors!$A$2:$A$151,0))&amp;"",""))</f>
        <v/>
      </c>
      <c r="G128" s="24">
        <f>IF(D128="","",IFERROR(INDEX(Mentors!$P$2:$P$151,MATCH(D128,Mentors!$A$2:$A$151,0))&amp;"",""))</f>
        <v/>
      </c>
      <c r="H128" s="32" t="n"/>
      <c r="I128" s="32" t="n"/>
      <c r="J128" s="32" t="n"/>
      <c r="K128" s="24">
        <f>IF(B128="","",COUNT(I128:J128))</f>
        <v/>
      </c>
      <c r="L128" s="24" t="n"/>
      <c r="M128" s="24" t="n"/>
      <c r="N128" s="24" t="n"/>
      <c r="O128" s="24" t="n"/>
    </row>
    <row r="129">
      <c r="A129" s="24" t="inlineStr">
        <is>
          <t>M-128</t>
        </is>
      </c>
      <c r="B129" s="24" t="n"/>
      <c r="C129" s="24">
        <f>IF(B129="","",IFERROR(INDEX(Mentees!$D$2:$D$301,MATCH(B129,Mentees!$A$2:$A$301,0)),"ID not found"))</f>
        <v/>
      </c>
      <c r="D129" s="24" t="n"/>
      <c r="E129" s="24">
        <f>IF(D129="","",IFERROR(INDEX(Mentors!$D$2:$D$151,MATCH(D129,Mentors!$A$2:$A$151,0)),"ID not found"))</f>
        <v/>
      </c>
      <c r="F129" s="24">
        <f>IF(D129="","",IFERROR(INDEX(Mentors!$F$2:$F$151,MATCH(D129,Mentors!$A$2:$A$151,0))&amp;"",""))</f>
        <v/>
      </c>
      <c r="G129" s="24">
        <f>IF(D129="","",IFERROR(INDEX(Mentors!$P$2:$P$151,MATCH(D129,Mentors!$A$2:$A$151,0))&amp;"",""))</f>
        <v/>
      </c>
      <c r="H129" s="32" t="n"/>
      <c r="I129" s="32" t="n"/>
      <c r="J129" s="32" t="n"/>
      <c r="K129" s="24">
        <f>IF(B129="","",COUNT(I129:J129))</f>
        <v/>
      </c>
      <c r="L129" s="24" t="n"/>
      <c r="M129" s="24" t="n"/>
      <c r="N129" s="24" t="n"/>
      <c r="O129" s="24" t="n"/>
    </row>
    <row r="130">
      <c r="A130" s="24" t="inlineStr">
        <is>
          <t>M-129</t>
        </is>
      </c>
      <c r="B130" s="24" t="n"/>
      <c r="C130" s="24">
        <f>IF(B130="","",IFERROR(INDEX(Mentees!$D$2:$D$301,MATCH(B130,Mentees!$A$2:$A$301,0)),"ID not found"))</f>
        <v/>
      </c>
      <c r="D130" s="24" t="n"/>
      <c r="E130" s="24">
        <f>IF(D130="","",IFERROR(INDEX(Mentors!$D$2:$D$151,MATCH(D130,Mentors!$A$2:$A$151,0)),"ID not found"))</f>
        <v/>
      </c>
      <c r="F130" s="24">
        <f>IF(D130="","",IFERROR(INDEX(Mentors!$F$2:$F$151,MATCH(D130,Mentors!$A$2:$A$151,0))&amp;"",""))</f>
        <v/>
      </c>
      <c r="G130" s="24">
        <f>IF(D130="","",IFERROR(INDEX(Mentors!$P$2:$P$151,MATCH(D130,Mentors!$A$2:$A$151,0))&amp;"",""))</f>
        <v/>
      </c>
      <c r="H130" s="32" t="n"/>
      <c r="I130" s="32" t="n"/>
      <c r="J130" s="32" t="n"/>
      <c r="K130" s="24">
        <f>IF(B130="","",COUNT(I130:J130))</f>
        <v/>
      </c>
      <c r="L130" s="24" t="n"/>
      <c r="M130" s="24" t="n"/>
      <c r="N130" s="24" t="n"/>
      <c r="O130" s="24" t="n"/>
    </row>
    <row r="131">
      <c r="A131" s="24" t="inlineStr">
        <is>
          <t>M-130</t>
        </is>
      </c>
      <c r="B131" s="24" t="n"/>
      <c r="C131" s="24">
        <f>IF(B131="","",IFERROR(INDEX(Mentees!$D$2:$D$301,MATCH(B131,Mentees!$A$2:$A$301,0)),"ID not found"))</f>
        <v/>
      </c>
      <c r="D131" s="24" t="n"/>
      <c r="E131" s="24">
        <f>IF(D131="","",IFERROR(INDEX(Mentors!$D$2:$D$151,MATCH(D131,Mentors!$A$2:$A$151,0)),"ID not found"))</f>
        <v/>
      </c>
      <c r="F131" s="24">
        <f>IF(D131="","",IFERROR(INDEX(Mentors!$F$2:$F$151,MATCH(D131,Mentors!$A$2:$A$151,0))&amp;"",""))</f>
        <v/>
      </c>
      <c r="G131" s="24">
        <f>IF(D131="","",IFERROR(INDEX(Mentors!$P$2:$P$151,MATCH(D131,Mentors!$A$2:$A$151,0))&amp;"",""))</f>
        <v/>
      </c>
      <c r="H131" s="32" t="n"/>
      <c r="I131" s="32" t="n"/>
      <c r="J131" s="32" t="n"/>
      <c r="K131" s="24">
        <f>IF(B131="","",COUNT(I131:J131))</f>
        <v/>
      </c>
      <c r="L131" s="24" t="n"/>
      <c r="M131" s="24" t="n"/>
      <c r="N131" s="24" t="n"/>
      <c r="O131" s="24" t="n"/>
    </row>
    <row r="132">
      <c r="A132" s="24" t="inlineStr">
        <is>
          <t>M-131</t>
        </is>
      </c>
      <c r="B132" s="24" t="n"/>
      <c r="C132" s="24">
        <f>IF(B132="","",IFERROR(INDEX(Mentees!$D$2:$D$301,MATCH(B132,Mentees!$A$2:$A$301,0)),"ID not found"))</f>
        <v/>
      </c>
      <c r="D132" s="24" t="n"/>
      <c r="E132" s="24">
        <f>IF(D132="","",IFERROR(INDEX(Mentors!$D$2:$D$151,MATCH(D132,Mentors!$A$2:$A$151,0)),"ID not found"))</f>
        <v/>
      </c>
      <c r="F132" s="24">
        <f>IF(D132="","",IFERROR(INDEX(Mentors!$F$2:$F$151,MATCH(D132,Mentors!$A$2:$A$151,0))&amp;"",""))</f>
        <v/>
      </c>
      <c r="G132" s="24">
        <f>IF(D132="","",IFERROR(INDEX(Mentors!$P$2:$P$151,MATCH(D132,Mentors!$A$2:$A$151,0))&amp;"",""))</f>
        <v/>
      </c>
      <c r="H132" s="32" t="n"/>
      <c r="I132" s="32" t="n"/>
      <c r="J132" s="32" t="n"/>
      <c r="K132" s="24">
        <f>IF(B132="","",COUNT(I132:J132))</f>
        <v/>
      </c>
      <c r="L132" s="24" t="n"/>
      <c r="M132" s="24" t="n"/>
      <c r="N132" s="24" t="n"/>
      <c r="O132" s="24" t="n"/>
    </row>
    <row r="133">
      <c r="A133" s="24" t="inlineStr">
        <is>
          <t>M-132</t>
        </is>
      </c>
      <c r="B133" s="24" t="n"/>
      <c r="C133" s="24">
        <f>IF(B133="","",IFERROR(INDEX(Mentees!$D$2:$D$301,MATCH(B133,Mentees!$A$2:$A$301,0)),"ID not found"))</f>
        <v/>
      </c>
      <c r="D133" s="24" t="n"/>
      <c r="E133" s="24">
        <f>IF(D133="","",IFERROR(INDEX(Mentors!$D$2:$D$151,MATCH(D133,Mentors!$A$2:$A$151,0)),"ID not found"))</f>
        <v/>
      </c>
      <c r="F133" s="24">
        <f>IF(D133="","",IFERROR(INDEX(Mentors!$F$2:$F$151,MATCH(D133,Mentors!$A$2:$A$151,0))&amp;"",""))</f>
        <v/>
      </c>
      <c r="G133" s="24">
        <f>IF(D133="","",IFERROR(INDEX(Mentors!$P$2:$P$151,MATCH(D133,Mentors!$A$2:$A$151,0))&amp;"",""))</f>
        <v/>
      </c>
      <c r="H133" s="32" t="n"/>
      <c r="I133" s="32" t="n"/>
      <c r="J133" s="32" t="n"/>
      <c r="K133" s="24">
        <f>IF(B133="","",COUNT(I133:J133))</f>
        <v/>
      </c>
      <c r="L133" s="24" t="n"/>
      <c r="M133" s="24" t="n"/>
      <c r="N133" s="24" t="n"/>
      <c r="O133" s="24" t="n"/>
    </row>
    <row r="134">
      <c r="A134" s="24" t="inlineStr">
        <is>
          <t>M-133</t>
        </is>
      </c>
      <c r="B134" s="24" t="n"/>
      <c r="C134" s="24">
        <f>IF(B134="","",IFERROR(INDEX(Mentees!$D$2:$D$301,MATCH(B134,Mentees!$A$2:$A$301,0)),"ID not found"))</f>
        <v/>
      </c>
      <c r="D134" s="24" t="n"/>
      <c r="E134" s="24">
        <f>IF(D134="","",IFERROR(INDEX(Mentors!$D$2:$D$151,MATCH(D134,Mentors!$A$2:$A$151,0)),"ID not found"))</f>
        <v/>
      </c>
      <c r="F134" s="24">
        <f>IF(D134="","",IFERROR(INDEX(Mentors!$F$2:$F$151,MATCH(D134,Mentors!$A$2:$A$151,0))&amp;"",""))</f>
        <v/>
      </c>
      <c r="G134" s="24">
        <f>IF(D134="","",IFERROR(INDEX(Mentors!$P$2:$P$151,MATCH(D134,Mentors!$A$2:$A$151,0))&amp;"",""))</f>
        <v/>
      </c>
      <c r="H134" s="32" t="n"/>
      <c r="I134" s="32" t="n"/>
      <c r="J134" s="32" t="n"/>
      <c r="K134" s="24">
        <f>IF(B134="","",COUNT(I134:J134))</f>
        <v/>
      </c>
      <c r="L134" s="24" t="n"/>
      <c r="M134" s="24" t="n"/>
      <c r="N134" s="24" t="n"/>
      <c r="O134" s="24" t="n"/>
    </row>
    <row r="135">
      <c r="A135" s="24" t="inlineStr">
        <is>
          <t>M-134</t>
        </is>
      </c>
      <c r="B135" s="24" t="n"/>
      <c r="C135" s="24">
        <f>IF(B135="","",IFERROR(INDEX(Mentees!$D$2:$D$301,MATCH(B135,Mentees!$A$2:$A$301,0)),"ID not found"))</f>
        <v/>
      </c>
      <c r="D135" s="24" t="n"/>
      <c r="E135" s="24">
        <f>IF(D135="","",IFERROR(INDEX(Mentors!$D$2:$D$151,MATCH(D135,Mentors!$A$2:$A$151,0)),"ID not found"))</f>
        <v/>
      </c>
      <c r="F135" s="24">
        <f>IF(D135="","",IFERROR(INDEX(Mentors!$F$2:$F$151,MATCH(D135,Mentors!$A$2:$A$151,0))&amp;"",""))</f>
        <v/>
      </c>
      <c r="G135" s="24">
        <f>IF(D135="","",IFERROR(INDEX(Mentors!$P$2:$P$151,MATCH(D135,Mentors!$A$2:$A$151,0))&amp;"",""))</f>
        <v/>
      </c>
      <c r="H135" s="32" t="n"/>
      <c r="I135" s="32" t="n"/>
      <c r="J135" s="32" t="n"/>
      <c r="K135" s="24">
        <f>IF(B135="","",COUNT(I135:J135))</f>
        <v/>
      </c>
      <c r="L135" s="24" t="n"/>
      <c r="M135" s="24" t="n"/>
      <c r="N135" s="24" t="n"/>
      <c r="O135" s="24" t="n"/>
    </row>
    <row r="136">
      <c r="A136" s="24" t="inlineStr">
        <is>
          <t>M-135</t>
        </is>
      </c>
      <c r="B136" s="24" t="n"/>
      <c r="C136" s="24">
        <f>IF(B136="","",IFERROR(INDEX(Mentees!$D$2:$D$301,MATCH(B136,Mentees!$A$2:$A$301,0)),"ID not found"))</f>
        <v/>
      </c>
      <c r="D136" s="24" t="n"/>
      <c r="E136" s="24">
        <f>IF(D136="","",IFERROR(INDEX(Mentors!$D$2:$D$151,MATCH(D136,Mentors!$A$2:$A$151,0)),"ID not found"))</f>
        <v/>
      </c>
      <c r="F136" s="24">
        <f>IF(D136="","",IFERROR(INDEX(Mentors!$F$2:$F$151,MATCH(D136,Mentors!$A$2:$A$151,0))&amp;"",""))</f>
        <v/>
      </c>
      <c r="G136" s="24">
        <f>IF(D136="","",IFERROR(INDEX(Mentors!$P$2:$P$151,MATCH(D136,Mentors!$A$2:$A$151,0))&amp;"",""))</f>
        <v/>
      </c>
      <c r="H136" s="32" t="n"/>
      <c r="I136" s="32" t="n"/>
      <c r="J136" s="32" t="n"/>
      <c r="K136" s="24">
        <f>IF(B136="","",COUNT(I136:J136))</f>
        <v/>
      </c>
      <c r="L136" s="24" t="n"/>
      <c r="M136" s="24" t="n"/>
      <c r="N136" s="24" t="n"/>
      <c r="O136" s="24" t="n"/>
    </row>
    <row r="137">
      <c r="A137" s="24" t="inlineStr">
        <is>
          <t>M-136</t>
        </is>
      </c>
      <c r="B137" s="24" t="n"/>
      <c r="C137" s="24">
        <f>IF(B137="","",IFERROR(INDEX(Mentees!$D$2:$D$301,MATCH(B137,Mentees!$A$2:$A$301,0)),"ID not found"))</f>
        <v/>
      </c>
      <c r="D137" s="24" t="n"/>
      <c r="E137" s="24">
        <f>IF(D137="","",IFERROR(INDEX(Mentors!$D$2:$D$151,MATCH(D137,Mentors!$A$2:$A$151,0)),"ID not found"))</f>
        <v/>
      </c>
      <c r="F137" s="24">
        <f>IF(D137="","",IFERROR(INDEX(Mentors!$F$2:$F$151,MATCH(D137,Mentors!$A$2:$A$151,0))&amp;"",""))</f>
        <v/>
      </c>
      <c r="G137" s="24">
        <f>IF(D137="","",IFERROR(INDEX(Mentors!$P$2:$P$151,MATCH(D137,Mentors!$A$2:$A$151,0))&amp;"",""))</f>
        <v/>
      </c>
      <c r="H137" s="32" t="n"/>
      <c r="I137" s="32" t="n"/>
      <c r="J137" s="32" t="n"/>
      <c r="K137" s="24">
        <f>IF(B137="","",COUNT(I137:J137))</f>
        <v/>
      </c>
      <c r="L137" s="24" t="n"/>
      <c r="M137" s="24" t="n"/>
      <c r="N137" s="24" t="n"/>
      <c r="O137" s="24" t="n"/>
    </row>
    <row r="138">
      <c r="A138" s="24" t="inlineStr">
        <is>
          <t>M-137</t>
        </is>
      </c>
      <c r="B138" s="24" t="n"/>
      <c r="C138" s="24">
        <f>IF(B138="","",IFERROR(INDEX(Mentees!$D$2:$D$301,MATCH(B138,Mentees!$A$2:$A$301,0)),"ID not found"))</f>
        <v/>
      </c>
      <c r="D138" s="24" t="n"/>
      <c r="E138" s="24">
        <f>IF(D138="","",IFERROR(INDEX(Mentors!$D$2:$D$151,MATCH(D138,Mentors!$A$2:$A$151,0)),"ID not found"))</f>
        <v/>
      </c>
      <c r="F138" s="24">
        <f>IF(D138="","",IFERROR(INDEX(Mentors!$F$2:$F$151,MATCH(D138,Mentors!$A$2:$A$151,0))&amp;"",""))</f>
        <v/>
      </c>
      <c r="G138" s="24">
        <f>IF(D138="","",IFERROR(INDEX(Mentors!$P$2:$P$151,MATCH(D138,Mentors!$A$2:$A$151,0))&amp;"",""))</f>
        <v/>
      </c>
      <c r="H138" s="32" t="n"/>
      <c r="I138" s="32" t="n"/>
      <c r="J138" s="32" t="n"/>
      <c r="K138" s="24">
        <f>IF(B138="","",COUNT(I138:J138))</f>
        <v/>
      </c>
      <c r="L138" s="24" t="n"/>
      <c r="M138" s="24" t="n"/>
      <c r="N138" s="24" t="n"/>
      <c r="O138" s="24" t="n"/>
    </row>
    <row r="139">
      <c r="A139" s="24" t="inlineStr">
        <is>
          <t>M-138</t>
        </is>
      </c>
      <c r="B139" s="24" t="n"/>
      <c r="C139" s="24">
        <f>IF(B139="","",IFERROR(INDEX(Mentees!$D$2:$D$301,MATCH(B139,Mentees!$A$2:$A$301,0)),"ID not found"))</f>
        <v/>
      </c>
      <c r="D139" s="24" t="n"/>
      <c r="E139" s="24">
        <f>IF(D139="","",IFERROR(INDEX(Mentors!$D$2:$D$151,MATCH(D139,Mentors!$A$2:$A$151,0)),"ID not found"))</f>
        <v/>
      </c>
      <c r="F139" s="24">
        <f>IF(D139="","",IFERROR(INDEX(Mentors!$F$2:$F$151,MATCH(D139,Mentors!$A$2:$A$151,0))&amp;"",""))</f>
        <v/>
      </c>
      <c r="G139" s="24">
        <f>IF(D139="","",IFERROR(INDEX(Mentors!$P$2:$P$151,MATCH(D139,Mentors!$A$2:$A$151,0))&amp;"",""))</f>
        <v/>
      </c>
      <c r="H139" s="32" t="n"/>
      <c r="I139" s="32" t="n"/>
      <c r="J139" s="32" t="n"/>
      <c r="K139" s="24">
        <f>IF(B139="","",COUNT(I139:J139))</f>
        <v/>
      </c>
      <c r="L139" s="24" t="n"/>
      <c r="M139" s="24" t="n"/>
      <c r="N139" s="24" t="n"/>
      <c r="O139" s="24" t="n"/>
    </row>
    <row r="140">
      <c r="A140" s="24" t="inlineStr">
        <is>
          <t>M-139</t>
        </is>
      </c>
      <c r="B140" s="24" t="n"/>
      <c r="C140" s="24">
        <f>IF(B140="","",IFERROR(INDEX(Mentees!$D$2:$D$301,MATCH(B140,Mentees!$A$2:$A$301,0)),"ID not found"))</f>
        <v/>
      </c>
      <c r="D140" s="24" t="n"/>
      <c r="E140" s="24">
        <f>IF(D140="","",IFERROR(INDEX(Mentors!$D$2:$D$151,MATCH(D140,Mentors!$A$2:$A$151,0)),"ID not found"))</f>
        <v/>
      </c>
      <c r="F140" s="24">
        <f>IF(D140="","",IFERROR(INDEX(Mentors!$F$2:$F$151,MATCH(D140,Mentors!$A$2:$A$151,0))&amp;"",""))</f>
        <v/>
      </c>
      <c r="G140" s="24">
        <f>IF(D140="","",IFERROR(INDEX(Mentors!$P$2:$P$151,MATCH(D140,Mentors!$A$2:$A$151,0))&amp;"",""))</f>
        <v/>
      </c>
      <c r="H140" s="32" t="n"/>
      <c r="I140" s="32" t="n"/>
      <c r="J140" s="32" t="n"/>
      <c r="K140" s="24">
        <f>IF(B140="","",COUNT(I140:J140))</f>
        <v/>
      </c>
      <c r="L140" s="24" t="n"/>
      <c r="M140" s="24" t="n"/>
      <c r="N140" s="24" t="n"/>
      <c r="O140" s="24" t="n"/>
    </row>
    <row r="141">
      <c r="A141" s="24" t="inlineStr">
        <is>
          <t>M-140</t>
        </is>
      </c>
      <c r="B141" s="24" t="n"/>
      <c r="C141" s="24">
        <f>IF(B141="","",IFERROR(INDEX(Mentees!$D$2:$D$301,MATCH(B141,Mentees!$A$2:$A$301,0)),"ID not found"))</f>
        <v/>
      </c>
      <c r="D141" s="24" t="n"/>
      <c r="E141" s="24">
        <f>IF(D141="","",IFERROR(INDEX(Mentors!$D$2:$D$151,MATCH(D141,Mentors!$A$2:$A$151,0)),"ID not found"))</f>
        <v/>
      </c>
      <c r="F141" s="24">
        <f>IF(D141="","",IFERROR(INDEX(Mentors!$F$2:$F$151,MATCH(D141,Mentors!$A$2:$A$151,0))&amp;"",""))</f>
        <v/>
      </c>
      <c r="G141" s="24">
        <f>IF(D141="","",IFERROR(INDEX(Mentors!$P$2:$P$151,MATCH(D141,Mentors!$A$2:$A$151,0))&amp;"",""))</f>
        <v/>
      </c>
      <c r="H141" s="32" t="n"/>
      <c r="I141" s="32" t="n"/>
      <c r="J141" s="32" t="n"/>
      <c r="K141" s="24">
        <f>IF(B141="","",COUNT(I141:J141))</f>
        <v/>
      </c>
      <c r="L141" s="24" t="n"/>
      <c r="M141" s="24" t="n"/>
      <c r="N141" s="24" t="n"/>
      <c r="O141" s="24" t="n"/>
    </row>
    <row r="142">
      <c r="A142" s="24" t="inlineStr">
        <is>
          <t>M-141</t>
        </is>
      </c>
      <c r="B142" s="24" t="n"/>
      <c r="C142" s="24">
        <f>IF(B142="","",IFERROR(INDEX(Mentees!$D$2:$D$301,MATCH(B142,Mentees!$A$2:$A$301,0)),"ID not found"))</f>
        <v/>
      </c>
      <c r="D142" s="24" t="n"/>
      <c r="E142" s="24">
        <f>IF(D142="","",IFERROR(INDEX(Mentors!$D$2:$D$151,MATCH(D142,Mentors!$A$2:$A$151,0)),"ID not found"))</f>
        <v/>
      </c>
      <c r="F142" s="24">
        <f>IF(D142="","",IFERROR(INDEX(Mentors!$F$2:$F$151,MATCH(D142,Mentors!$A$2:$A$151,0))&amp;"",""))</f>
        <v/>
      </c>
      <c r="G142" s="24">
        <f>IF(D142="","",IFERROR(INDEX(Mentors!$P$2:$P$151,MATCH(D142,Mentors!$A$2:$A$151,0))&amp;"",""))</f>
        <v/>
      </c>
      <c r="H142" s="32" t="n"/>
      <c r="I142" s="32" t="n"/>
      <c r="J142" s="32" t="n"/>
      <c r="K142" s="24">
        <f>IF(B142="","",COUNT(I142:J142))</f>
        <v/>
      </c>
      <c r="L142" s="24" t="n"/>
      <c r="M142" s="24" t="n"/>
      <c r="N142" s="24" t="n"/>
      <c r="O142" s="24" t="n"/>
    </row>
    <row r="143">
      <c r="A143" s="24" t="inlineStr">
        <is>
          <t>M-142</t>
        </is>
      </c>
      <c r="B143" s="24" t="n"/>
      <c r="C143" s="24">
        <f>IF(B143="","",IFERROR(INDEX(Mentees!$D$2:$D$301,MATCH(B143,Mentees!$A$2:$A$301,0)),"ID not found"))</f>
        <v/>
      </c>
      <c r="D143" s="24" t="n"/>
      <c r="E143" s="24">
        <f>IF(D143="","",IFERROR(INDEX(Mentors!$D$2:$D$151,MATCH(D143,Mentors!$A$2:$A$151,0)),"ID not found"))</f>
        <v/>
      </c>
      <c r="F143" s="24">
        <f>IF(D143="","",IFERROR(INDEX(Mentors!$F$2:$F$151,MATCH(D143,Mentors!$A$2:$A$151,0))&amp;"",""))</f>
        <v/>
      </c>
      <c r="G143" s="24">
        <f>IF(D143="","",IFERROR(INDEX(Mentors!$P$2:$P$151,MATCH(D143,Mentors!$A$2:$A$151,0))&amp;"",""))</f>
        <v/>
      </c>
      <c r="H143" s="32" t="n"/>
      <c r="I143" s="32" t="n"/>
      <c r="J143" s="32" t="n"/>
      <c r="K143" s="24">
        <f>IF(B143="","",COUNT(I143:J143))</f>
        <v/>
      </c>
      <c r="L143" s="24" t="n"/>
      <c r="M143" s="24" t="n"/>
      <c r="N143" s="24" t="n"/>
      <c r="O143" s="24" t="n"/>
    </row>
    <row r="144">
      <c r="A144" s="24" t="inlineStr">
        <is>
          <t>M-143</t>
        </is>
      </c>
      <c r="B144" s="24" t="n"/>
      <c r="C144" s="24">
        <f>IF(B144="","",IFERROR(INDEX(Mentees!$D$2:$D$301,MATCH(B144,Mentees!$A$2:$A$301,0)),"ID not found"))</f>
        <v/>
      </c>
      <c r="D144" s="24" t="n"/>
      <c r="E144" s="24">
        <f>IF(D144="","",IFERROR(INDEX(Mentors!$D$2:$D$151,MATCH(D144,Mentors!$A$2:$A$151,0)),"ID not found"))</f>
        <v/>
      </c>
      <c r="F144" s="24">
        <f>IF(D144="","",IFERROR(INDEX(Mentors!$F$2:$F$151,MATCH(D144,Mentors!$A$2:$A$151,0))&amp;"",""))</f>
        <v/>
      </c>
      <c r="G144" s="24">
        <f>IF(D144="","",IFERROR(INDEX(Mentors!$P$2:$P$151,MATCH(D144,Mentors!$A$2:$A$151,0))&amp;"",""))</f>
        <v/>
      </c>
      <c r="H144" s="32" t="n"/>
      <c r="I144" s="32" t="n"/>
      <c r="J144" s="32" t="n"/>
      <c r="K144" s="24">
        <f>IF(B144="","",COUNT(I144:J144))</f>
        <v/>
      </c>
      <c r="L144" s="24" t="n"/>
      <c r="M144" s="24" t="n"/>
      <c r="N144" s="24" t="n"/>
      <c r="O144" s="24" t="n"/>
    </row>
    <row r="145">
      <c r="A145" s="24" t="inlineStr">
        <is>
          <t>M-144</t>
        </is>
      </c>
      <c r="B145" s="24" t="n"/>
      <c r="C145" s="24">
        <f>IF(B145="","",IFERROR(INDEX(Mentees!$D$2:$D$301,MATCH(B145,Mentees!$A$2:$A$301,0)),"ID not found"))</f>
        <v/>
      </c>
      <c r="D145" s="24" t="n"/>
      <c r="E145" s="24">
        <f>IF(D145="","",IFERROR(INDEX(Mentors!$D$2:$D$151,MATCH(D145,Mentors!$A$2:$A$151,0)),"ID not found"))</f>
        <v/>
      </c>
      <c r="F145" s="24">
        <f>IF(D145="","",IFERROR(INDEX(Mentors!$F$2:$F$151,MATCH(D145,Mentors!$A$2:$A$151,0))&amp;"",""))</f>
        <v/>
      </c>
      <c r="G145" s="24">
        <f>IF(D145="","",IFERROR(INDEX(Mentors!$P$2:$P$151,MATCH(D145,Mentors!$A$2:$A$151,0))&amp;"",""))</f>
        <v/>
      </c>
      <c r="H145" s="32" t="n"/>
      <c r="I145" s="32" t="n"/>
      <c r="J145" s="32" t="n"/>
      <c r="K145" s="24">
        <f>IF(B145="","",COUNT(I145:J145))</f>
        <v/>
      </c>
      <c r="L145" s="24" t="n"/>
      <c r="M145" s="24" t="n"/>
      <c r="N145" s="24" t="n"/>
      <c r="O145" s="24" t="n"/>
    </row>
    <row r="146">
      <c r="A146" s="24" t="inlineStr">
        <is>
          <t>M-145</t>
        </is>
      </c>
      <c r="B146" s="24" t="n"/>
      <c r="C146" s="24">
        <f>IF(B146="","",IFERROR(INDEX(Mentees!$D$2:$D$301,MATCH(B146,Mentees!$A$2:$A$301,0)),"ID not found"))</f>
        <v/>
      </c>
      <c r="D146" s="24" t="n"/>
      <c r="E146" s="24">
        <f>IF(D146="","",IFERROR(INDEX(Mentors!$D$2:$D$151,MATCH(D146,Mentors!$A$2:$A$151,0)),"ID not found"))</f>
        <v/>
      </c>
      <c r="F146" s="24">
        <f>IF(D146="","",IFERROR(INDEX(Mentors!$F$2:$F$151,MATCH(D146,Mentors!$A$2:$A$151,0))&amp;"",""))</f>
        <v/>
      </c>
      <c r="G146" s="24">
        <f>IF(D146="","",IFERROR(INDEX(Mentors!$P$2:$P$151,MATCH(D146,Mentors!$A$2:$A$151,0))&amp;"",""))</f>
        <v/>
      </c>
      <c r="H146" s="32" t="n"/>
      <c r="I146" s="32" t="n"/>
      <c r="J146" s="32" t="n"/>
      <c r="K146" s="24">
        <f>IF(B146="","",COUNT(I146:J146))</f>
        <v/>
      </c>
      <c r="L146" s="24" t="n"/>
      <c r="M146" s="24" t="n"/>
      <c r="N146" s="24" t="n"/>
      <c r="O146" s="24" t="n"/>
    </row>
    <row r="147">
      <c r="A147" s="24" t="inlineStr">
        <is>
          <t>M-146</t>
        </is>
      </c>
      <c r="B147" s="24" t="n"/>
      <c r="C147" s="24">
        <f>IF(B147="","",IFERROR(INDEX(Mentees!$D$2:$D$301,MATCH(B147,Mentees!$A$2:$A$301,0)),"ID not found"))</f>
        <v/>
      </c>
      <c r="D147" s="24" t="n"/>
      <c r="E147" s="24">
        <f>IF(D147="","",IFERROR(INDEX(Mentors!$D$2:$D$151,MATCH(D147,Mentors!$A$2:$A$151,0)),"ID not found"))</f>
        <v/>
      </c>
      <c r="F147" s="24">
        <f>IF(D147="","",IFERROR(INDEX(Mentors!$F$2:$F$151,MATCH(D147,Mentors!$A$2:$A$151,0))&amp;"",""))</f>
        <v/>
      </c>
      <c r="G147" s="24">
        <f>IF(D147="","",IFERROR(INDEX(Mentors!$P$2:$P$151,MATCH(D147,Mentors!$A$2:$A$151,0))&amp;"",""))</f>
        <v/>
      </c>
      <c r="H147" s="32" t="n"/>
      <c r="I147" s="32" t="n"/>
      <c r="J147" s="32" t="n"/>
      <c r="K147" s="24">
        <f>IF(B147="","",COUNT(I147:J147))</f>
        <v/>
      </c>
      <c r="L147" s="24" t="n"/>
      <c r="M147" s="24" t="n"/>
      <c r="N147" s="24" t="n"/>
      <c r="O147" s="24" t="n"/>
    </row>
    <row r="148">
      <c r="A148" s="24" t="inlineStr">
        <is>
          <t>M-147</t>
        </is>
      </c>
      <c r="B148" s="24" t="n"/>
      <c r="C148" s="24">
        <f>IF(B148="","",IFERROR(INDEX(Mentees!$D$2:$D$301,MATCH(B148,Mentees!$A$2:$A$301,0)),"ID not found"))</f>
        <v/>
      </c>
      <c r="D148" s="24" t="n"/>
      <c r="E148" s="24">
        <f>IF(D148="","",IFERROR(INDEX(Mentors!$D$2:$D$151,MATCH(D148,Mentors!$A$2:$A$151,0)),"ID not found"))</f>
        <v/>
      </c>
      <c r="F148" s="24">
        <f>IF(D148="","",IFERROR(INDEX(Mentors!$F$2:$F$151,MATCH(D148,Mentors!$A$2:$A$151,0))&amp;"",""))</f>
        <v/>
      </c>
      <c r="G148" s="24">
        <f>IF(D148="","",IFERROR(INDEX(Mentors!$P$2:$P$151,MATCH(D148,Mentors!$A$2:$A$151,0))&amp;"",""))</f>
        <v/>
      </c>
      <c r="H148" s="32" t="n"/>
      <c r="I148" s="32" t="n"/>
      <c r="J148" s="32" t="n"/>
      <c r="K148" s="24">
        <f>IF(B148="","",COUNT(I148:J148))</f>
        <v/>
      </c>
      <c r="L148" s="24" t="n"/>
      <c r="M148" s="24" t="n"/>
      <c r="N148" s="24" t="n"/>
      <c r="O148" s="24" t="n"/>
    </row>
    <row r="149">
      <c r="A149" s="24" t="inlineStr">
        <is>
          <t>M-148</t>
        </is>
      </c>
      <c r="B149" s="24" t="n"/>
      <c r="C149" s="24">
        <f>IF(B149="","",IFERROR(INDEX(Mentees!$D$2:$D$301,MATCH(B149,Mentees!$A$2:$A$301,0)),"ID not found"))</f>
        <v/>
      </c>
      <c r="D149" s="24" t="n"/>
      <c r="E149" s="24">
        <f>IF(D149="","",IFERROR(INDEX(Mentors!$D$2:$D$151,MATCH(D149,Mentors!$A$2:$A$151,0)),"ID not found"))</f>
        <v/>
      </c>
      <c r="F149" s="24">
        <f>IF(D149="","",IFERROR(INDEX(Mentors!$F$2:$F$151,MATCH(D149,Mentors!$A$2:$A$151,0))&amp;"",""))</f>
        <v/>
      </c>
      <c r="G149" s="24">
        <f>IF(D149="","",IFERROR(INDEX(Mentors!$P$2:$P$151,MATCH(D149,Mentors!$A$2:$A$151,0))&amp;"",""))</f>
        <v/>
      </c>
      <c r="H149" s="32" t="n"/>
      <c r="I149" s="32" t="n"/>
      <c r="J149" s="32" t="n"/>
      <c r="K149" s="24">
        <f>IF(B149="","",COUNT(I149:J149))</f>
        <v/>
      </c>
      <c r="L149" s="24" t="n"/>
      <c r="M149" s="24" t="n"/>
      <c r="N149" s="24" t="n"/>
      <c r="O149" s="24" t="n"/>
    </row>
    <row r="150">
      <c r="A150" s="24" t="inlineStr">
        <is>
          <t>M-149</t>
        </is>
      </c>
      <c r="B150" s="24" t="n"/>
      <c r="C150" s="24">
        <f>IF(B150="","",IFERROR(INDEX(Mentees!$D$2:$D$301,MATCH(B150,Mentees!$A$2:$A$301,0)),"ID not found"))</f>
        <v/>
      </c>
      <c r="D150" s="24" t="n"/>
      <c r="E150" s="24">
        <f>IF(D150="","",IFERROR(INDEX(Mentors!$D$2:$D$151,MATCH(D150,Mentors!$A$2:$A$151,0)),"ID not found"))</f>
        <v/>
      </c>
      <c r="F150" s="24">
        <f>IF(D150="","",IFERROR(INDEX(Mentors!$F$2:$F$151,MATCH(D150,Mentors!$A$2:$A$151,0))&amp;"",""))</f>
        <v/>
      </c>
      <c r="G150" s="24">
        <f>IF(D150="","",IFERROR(INDEX(Mentors!$P$2:$P$151,MATCH(D150,Mentors!$A$2:$A$151,0))&amp;"",""))</f>
        <v/>
      </c>
      <c r="H150" s="32" t="n"/>
      <c r="I150" s="32" t="n"/>
      <c r="J150" s="32" t="n"/>
      <c r="K150" s="24">
        <f>IF(B150="","",COUNT(I150:J150))</f>
        <v/>
      </c>
      <c r="L150" s="24" t="n"/>
      <c r="M150" s="24" t="n"/>
      <c r="N150" s="24" t="n"/>
      <c r="O150" s="24" t="n"/>
    </row>
    <row r="151">
      <c r="A151" s="24" t="inlineStr">
        <is>
          <t>M-150</t>
        </is>
      </c>
      <c r="B151" s="24" t="n"/>
      <c r="C151" s="24">
        <f>IF(B151="","",IFERROR(INDEX(Mentees!$D$2:$D$301,MATCH(B151,Mentees!$A$2:$A$301,0)),"ID not found"))</f>
        <v/>
      </c>
      <c r="D151" s="24" t="n"/>
      <c r="E151" s="24">
        <f>IF(D151="","",IFERROR(INDEX(Mentors!$D$2:$D$151,MATCH(D151,Mentors!$A$2:$A$151,0)),"ID not found"))</f>
        <v/>
      </c>
      <c r="F151" s="24">
        <f>IF(D151="","",IFERROR(INDEX(Mentors!$F$2:$F$151,MATCH(D151,Mentors!$A$2:$A$151,0))&amp;"",""))</f>
        <v/>
      </c>
      <c r="G151" s="24">
        <f>IF(D151="","",IFERROR(INDEX(Mentors!$P$2:$P$151,MATCH(D151,Mentors!$A$2:$A$151,0))&amp;"",""))</f>
        <v/>
      </c>
      <c r="H151" s="32" t="n"/>
      <c r="I151" s="32" t="n"/>
      <c r="J151" s="32" t="n"/>
      <c r="K151" s="24">
        <f>IF(B151="","",COUNT(I151:J151))</f>
        <v/>
      </c>
      <c r="L151" s="24" t="n"/>
      <c r="M151" s="24" t="n"/>
      <c r="N151" s="24" t="n"/>
      <c r="O151" s="24" t="n"/>
    </row>
    <row r="152">
      <c r="A152" s="24" t="inlineStr">
        <is>
          <t>M-151</t>
        </is>
      </c>
      <c r="B152" s="24" t="n"/>
      <c r="C152" s="24">
        <f>IF(B152="","",IFERROR(INDEX(Mentees!$D$2:$D$301,MATCH(B152,Mentees!$A$2:$A$301,0)),"ID not found"))</f>
        <v/>
      </c>
      <c r="D152" s="24" t="n"/>
      <c r="E152" s="24">
        <f>IF(D152="","",IFERROR(INDEX(Mentors!$D$2:$D$151,MATCH(D152,Mentors!$A$2:$A$151,0)),"ID not found"))</f>
        <v/>
      </c>
      <c r="F152" s="24">
        <f>IF(D152="","",IFERROR(INDEX(Mentors!$F$2:$F$151,MATCH(D152,Mentors!$A$2:$A$151,0))&amp;"",""))</f>
        <v/>
      </c>
      <c r="G152" s="24">
        <f>IF(D152="","",IFERROR(INDEX(Mentors!$P$2:$P$151,MATCH(D152,Mentors!$A$2:$A$151,0))&amp;"",""))</f>
        <v/>
      </c>
      <c r="H152" s="32" t="n"/>
      <c r="I152" s="32" t="n"/>
      <c r="J152" s="32" t="n"/>
      <c r="K152" s="24">
        <f>IF(B152="","",COUNT(I152:J152))</f>
        <v/>
      </c>
      <c r="L152" s="24" t="n"/>
      <c r="M152" s="24" t="n"/>
      <c r="N152" s="24" t="n"/>
      <c r="O152" s="24" t="n"/>
    </row>
    <row r="153">
      <c r="A153" s="24" t="inlineStr">
        <is>
          <t>M-152</t>
        </is>
      </c>
      <c r="B153" s="24" t="n"/>
      <c r="C153" s="24">
        <f>IF(B153="","",IFERROR(INDEX(Mentees!$D$2:$D$301,MATCH(B153,Mentees!$A$2:$A$301,0)),"ID not found"))</f>
        <v/>
      </c>
      <c r="D153" s="24" t="n"/>
      <c r="E153" s="24">
        <f>IF(D153="","",IFERROR(INDEX(Mentors!$D$2:$D$151,MATCH(D153,Mentors!$A$2:$A$151,0)),"ID not found"))</f>
        <v/>
      </c>
      <c r="F153" s="24">
        <f>IF(D153="","",IFERROR(INDEX(Mentors!$F$2:$F$151,MATCH(D153,Mentors!$A$2:$A$151,0))&amp;"",""))</f>
        <v/>
      </c>
      <c r="G153" s="24">
        <f>IF(D153="","",IFERROR(INDEX(Mentors!$P$2:$P$151,MATCH(D153,Mentors!$A$2:$A$151,0))&amp;"",""))</f>
        <v/>
      </c>
      <c r="H153" s="32" t="n"/>
      <c r="I153" s="32" t="n"/>
      <c r="J153" s="32" t="n"/>
      <c r="K153" s="24">
        <f>IF(B153="","",COUNT(I153:J153))</f>
        <v/>
      </c>
      <c r="L153" s="24" t="n"/>
      <c r="M153" s="24" t="n"/>
      <c r="N153" s="24" t="n"/>
      <c r="O153" s="24" t="n"/>
    </row>
    <row r="154">
      <c r="A154" s="24" t="inlineStr">
        <is>
          <t>M-153</t>
        </is>
      </c>
      <c r="B154" s="24" t="n"/>
      <c r="C154" s="24">
        <f>IF(B154="","",IFERROR(INDEX(Mentees!$D$2:$D$301,MATCH(B154,Mentees!$A$2:$A$301,0)),"ID not found"))</f>
        <v/>
      </c>
      <c r="D154" s="24" t="n"/>
      <c r="E154" s="24">
        <f>IF(D154="","",IFERROR(INDEX(Mentors!$D$2:$D$151,MATCH(D154,Mentors!$A$2:$A$151,0)),"ID not found"))</f>
        <v/>
      </c>
      <c r="F154" s="24">
        <f>IF(D154="","",IFERROR(INDEX(Mentors!$F$2:$F$151,MATCH(D154,Mentors!$A$2:$A$151,0))&amp;"",""))</f>
        <v/>
      </c>
      <c r="G154" s="24">
        <f>IF(D154="","",IFERROR(INDEX(Mentors!$P$2:$P$151,MATCH(D154,Mentors!$A$2:$A$151,0))&amp;"",""))</f>
        <v/>
      </c>
      <c r="H154" s="32" t="n"/>
      <c r="I154" s="32" t="n"/>
      <c r="J154" s="32" t="n"/>
      <c r="K154" s="24">
        <f>IF(B154="","",COUNT(I154:J154))</f>
        <v/>
      </c>
      <c r="L154" s="24" t="n"/>
      <c r="M154" s="24" t="n"/>
      <c r="N154" s="24" t="n"/>
      <c r="O154" s="24" t="n"/>
    </row>
    <row r="155">
      <c r="A155" s="24" t="inlineStr">
        <is>
          <t>M-154</t>
        </is>
      </c>
      <c r="B155" s="24" t="n"/>
      <c r="C155" s="24">
        <f>IF(B155="","",IFERROR(INDEX(Mentees!$D$2:$D$301,MATCH(B155,Mentees!$A$2:$A$301,0)),"ID not found"))</f>
        <v/>
      </c>
      <c r="D155" s="24" t="n"/>
      <c r="E155" s="24">
        <f>IF(D155="","",IFERROR(INDEX(Mentors!$D$2:$D$151,MATCH(D155,Mentors!$A$2:$A$151,0)),"ID not found"))</f>
        <v/>
      </c>
      <c r="F155" s="24">
        <f>IF(D155="","",IFERROR(INDEX(Mentors!$F$2:$F$151,MATCH(D155,Mentors!$A$2:$A$151,0))&amp;"",""))</f>
        <v/>
      </c>
      <c r="G155" s="24">
        <f>IF(D155="","",IFERROR(INDEX(Mentors!$P$2:$P$151,MATCH(D155,Mentors!$A$2:$A$151,0))&amp;"",""))</f>
        <v/>
      </c>
      <c r="H155" s="32" t="n"/>
      <c r="I155" s="32" t="n"/>
      <c r="J155" s="32" t="n"/>
      <c r="K155" s="24">
        <f>IF(B155="","",COUNT(I155:J155))</f>
        <v/>
      </c>
      <c r="L155" s="24" t="n"/>
      <c r="M155" s="24" t="n"/>
      <c r="N155" s="24" t="n"/>
      <c r="O155" s="24" t="n"/>
    </row>
    <row r="156">
      <c r="A156" s="24" t="inlineStr">
        <is>
          <t>M-155</t>
        </is>
      </c>
      <c r="B156" s="24" t="n"/>
      <c r="C156" s="24">
        <f>IF(B156="","",IFERROR(INDEX(Mentees!$D$2:$D$301,MATCH(B156,Mentees!$A$2:$A$301,0)),"ID not found"))</f>
        <v/>
      </c>
      <c r="D156" s="24" t="n"/>
      <c r="E156" s="24">
        <f>IF(D156="","",IFERROR(INDEX(Mentors!$D$2:$D$151,MATCH(D156,Mentors!$A$2:$A$151,0)),"ID not found"))</f>
        <v/>
      </c>
      <c r="F156" s="24">
        <f>IF(D156="","",IFERROR(INDEX(Mentors!$F$2:$F$151,MATCH(D156,Mentors!$A$2:$A$151,0))&amp;"",""))</f>
        <v/>
      </c>
      <c r="G156" s="24">
        <f>IF(D156="","",IFERROR(INDEX(Mentors!$P$2:$P$151,MATCH(D156,Mentors!$A$2:$A$151,0))&amp;"",""))</f>
        <v/>
      </c>
      <c r="H156" s="32" t="n"/>
      <c r="I156" s="32" t="n"/>
      <c r="J156" s="32" t="n"/>
      <c r="K156" s="24">
        <f>IF(B156="","",COUNT(I156:J156))</f>
        <v/>
      </c>
      <c r="L156" s="24" t="n"/>
      <c r="M156" s="24" t="n"/>
      <c r="N156" s="24" t="n"/>
      <c r="O156" s="24" t="n"/>
    </row>
    <row r="157">
      <c r="A157" s="24" t="inlineStr">
        <is>
          <t>M-156</t>
        </is>
      </c>
      <c r="B157" s="24" t="n"/>
      <c r="C157" s="24">
        <f>IF(B157="","",IFERROR(INDEX(Mentees!$D$2:$D$301,MATCH(B157,Mentees!$A$2:$A$301,0)),"ID not found"))</f>
        <v/>
      </c>
      <c r="D157" s="24" t="n"/>
      <c r="E157" s="24">
        <f>IF(D157="","",IFERROR(INDEX(Mentors!$D$2:$D$151,MATCH(D157,Mentors!$A$2:$A$151,0)),"ID not found"))</f>
        <v/>
      </c>
      <c r="F157" s="24">
        <f>IF(D157="","",IFERROR(INDEX(Mentors!$F$2:$F$151,MATCH(D157,Mentors!$A$2:$A$151,0))&amp;"",""))</f>
        <v/>
      </c>
      <c r="G157" s="24">
        <f>IF(D157="","",IFERROR(INDEX(Mentors!$P$2:$P$151,MATCH(D157,Mentors!$A$2:$A$151,0))&amp;"",""))</f>
        <v/>
      </c>
      <c r="H157" s="32" t="n"/>
      <c r="I157" s="32" t="n"/>
      <c r="J157" s="32" t="n"/>
      <c r="K157" s="24">
        <f>IF(B157="","",COUNT(I157:J157))</f>
        <v/>
      </c>
      <c r="L157" s="24" t="n"/>
      <c r="M157" s="24" t="n"/>
      <c r="N157" s="24" t="n"/>
      <c r="O157" s="24" t="n"/>
    </row>
    <row r="158">
      <c r="A158" s="24" t="inlineStr">
        <is>
          <t>M-157</t>
        </is>
      </c>
      <c r="B158" s="24" t="n"/>
      <c r="C158" s="24">
        <f>IF(B158="","",IFERROR(INDEX(Mentees!$D$2:$D$301,MATCH(B158,Mentees!$A$2:$A$301,0)),"ID not found"))</f>
        <v/>
      </c>
      <c r="D158" s="24" t="n"/>
      <c r="E158" s="24">
        <f>IF(D158="","",IFERROR(INDEX(Mentors!$D$2:$D$151,MATCH(D158,Mentors!$A$2:$A$151,0)),"ID not found"))</f>
        <v/>
      </c>
      <c r="F158" s="24">
        <f>IF(D158="","",IFERROR(INDEX(Mentors!$F$2:$F$151,MATCH(D158,Mentors!$A$2:$A$151,0))&amp;"",""))</f>
        <v/>
      </c>
      <c r="G158" s="24">
        <f>IF(D158="","",IFERROR(INDEX(Mentors!$P$2:$P$151,MATCH(D158,Mentors!$A$2:$A$151,0))&amp;"",""))</f>
        <v/>
      </c>
      <c r="H158" s="32" t="n"/>
      <c r="I158" s="32" t="n"/>
      <c r="J158" s="32" t="n"/>
      <c r="K158" s="24">
        <f>IF(B158="","",COUNT(I158:J158))</f>
        <v/>
      </c>
      <c r="L158" s="24" t="n"/>
      <c r="M158" s="24" t="n"/>
      <c r="N158" s="24" t="n"/>
      <c r="O158" s="24" t="n"/>
    </row>
    <row r="159">
      <c r="A159" s="24" t="inlineStr">
        <is>
          <t>M-158</t>
        </is>
      </c>
      <c r="B159" s="24" t="n"/>
      <c r="C159" s="24">
        <f>IF(B159="","",IFERROR(INDEX(Mentees!$D$2:$D$301,MATCH(B159,Mentees!$A$2:$A$301,0)),"ID not found"))</f>
        <v/>
      </c>
      <c r="D159" s="24" t="n"/>
      <c r="E159" s="24">
        <f>IF(D159="","",IFERROR(INDEX(Mentors!$D$2:$D$151,MATCH(D159,Mentors!$A$2:$A$151,0)),"ID not found"))</f>
        <v/>
      </c>
      <c r="F159" s="24">
        <f>IF(D159="","",IFERROR(INDEX(Mentors!$F$2:$F$151,MATCH(D159,Mentors!$A$2:$A$151,0))&amp;"",""))</f>
        <v/>
      </c>
      <c r="G159" s="24">
        <f>IF(D159="","",IFERROR(INDEX(Mentors!$P$2:$P$151,MATCH(D159,Mentors!$A$2:$A$151,0))&amp;"",""))</f>
        <v/>
      </c>
      <c r="H159" s="32" t="n"/>
      <c r="I159" s="32" t="n"/>
      <c r="J159" s="32" t="n"/>
      <c r="K159" s="24">
        <f>IF(B159="","",COUNT(I159:J159))</f>
        <v/>
      </c>
      <c r="L159" s="24" t="n"/>
      <c r="M159" s="24" t="n"/>
      <c r="N159" s="24" t="n"/>
      <c r="O159" s="24" t="n"/>
    </row>
    <row r="160">
      <c r="A160" s="24" t="inlineStr">
        <is>
          <t>M-159</t>
        </is>
      </c>
      <c r="B160" s="24" t="n"/>
      <c r="C160" s="24">
        <f>IF(B160="","",IFERROR(INDEX(Mentees!$D$2:$D$301,MATCH(B160,Mentees!$A$2:$A$301,0)),"ID not found"))</f>
        <v/>
      </c>
      <c r="D160" s="24" t="n"/>
      <c r="E160" s="24">
        <f>IF(D160="","",IFERROR(INDEX(Mentors!$D$2:$D$151,MATCH(D160,Mentors!$A$2:$A$151,0)),"ID not found"))</f>
        <v/>
      </c>
      <c r="F160" s="24">
        <f>IF(D160="","",IFERROR(INDEX(Mentors!$F$2:$F$151,MATCH(D160,Mentors!$A$2:$A$151,0))&amp;"",""))</f>
        <v/>
      </c>
      <c r="G160" s="24">
        <f>IF(D160="","",IFERROR(INDEX(Mentors!$P$2:$P$151,MATCH(D160,Mentors!$A$2:$A$151,0))&amp;"",""))</f>
        <v/>
      </c>
      <c r="H160" s="32" t="n"/>
      <c r="I160" s="32" t="n"/>
      <c r="J160" s="32" t="n"/>
      <c r="K160" s="24">
        <f>IF(B160="","",COUNT(I160:J160))</f>
        <v/>
      </c>
      <c r="L160" s="24" t="n"/>
      <c r="M160" s="24" t="n"/>
      <c r="N160" s="24" t="n"/>
      <c r="O160" s="24" t="n"/>
    </row>
    <row r="161">
      <c r="A161" s="24" t="inlineStr">
        <is>
          <t>M-160</t>
        </is>
      </c>
      <c r="B161" s="24" t="n"/>
      <c r="C161" s="24">
        <f>IF(B161="","",IFERROR(INDEX(Mentees!$D$2:$D$301,MATCH(B161,Mentees!$A$2:$A$301,0)),"ID not found"))</f>
        <v/>
      </c>
      <c r="D161" s="24" t="n"/>
      <c r="E161" s="24">
        <f>IF(D161="","",IFERROR(INDEX(Mentors!$D$2:$D$151,MATCH(D161,Mentors!$A$2:$A$151,0)),"ID not found"))</f>
        <v/>
      </c>
      <c r="F161" s="24">
        <f>IF(D161="","",IFERROR(INDEX(Mentors!$F$2:$F$151,MATCH(D161,Mentors!$A$2:$A$151,0))&amp;"",""))</f>
        <v/>
      </c>
      <c r="G161" s="24">
        <f>IF(D161="","",IFERROR(INDEX(Mentors!$P$2:$P$151,MATCH(D161,Mentors!$A$2:$A$151,0))&amp;"",""))</f>
        <v/>
      </c>
      <c r="H161" s="32" t="n"/>
      <c r="I161" s="32" t="n"/>
      <c r="J161" s="32" t="n"/>
      <c r="K161" s="24">
        <f>IF(B161="","",COUNT(I161:J161))</f>
        <v/>
      </c>
      <c r="L161" s="24" t="n"/>
      <c r="M161" s="24" t="n"/>
      <c r="N161" s="24" t="n"/>
      <c r="O161" s="24" t="n"/>
    </row>
    <row r="162">
      <c r="A162" s="24" t="inlineStr">
        <is>
          <t>M-161</t>
        </is>
      </c>
      <c r="B162" s="24" t="n"/>
      <c r="C162" s="24">
        <f>IF(B162="","",IFERROR(INDEX(Mentees!$D$2:$D$301,MATCH(B162,Mentees!$A$2:$A$301,0)),"ID not found"))</f>
        <v/>
      </c>
      <c r="D162" s="24" t="n"/>
      <c r="E162" s="24">
        <f>IF(D162="","",IFERROR(INDEX(Mentors!$D$2:$D$151,MATCH(D162,Mentors!$A$2:$A$151,0)),"ID not found"))</f>
        <v/>
      </c>
      <c r="F162" s="24">
        <f>IF(D162="","",IFERROR(INDEX(Mentors!$F$2:$F$151,MATCH(D162,Mentors!$A$2:$A$151,0))&amp;"",""))</f>
        <v/>
      </c>
      <c r="G162" s="24">
        <f>IF(D162="","",IFERROR(INDEX(Mentors!$P$2:$P$151,MATCH(D162,Mentors!$A$2:$A$151,0))&amp;"",""))</f>
        <v/>
      </c>
      <c r="H162" s="32" t="n"/>
      <c r="I162" s="32" t="n"/>
      <c r="J162" s="32" t="n"/>
      <c r="K162" s="24">
        <f>IF(B162="","",COUNT(I162:J162))</f>
        <v/>
      </c>
      <c r="L162" s="24" t="n"/>
      <c r="M162" s="24" t="n"/>
      <c r="N162" s="24" t="n"/>
      <c r="O162" s="24" t="n"/>
    </row>
    <row r="163">
      <c r="A163" s="24" t="inlineStr">
        <is>
          <t>M-162</t>
        </is>
      </c>
      <c r="B163" s="24" t="n"/>
      <c r="C163" s="24">
        <f>IF(B163="","",IFERROR(INDEX(Mentees!$D$2:$D$301,MATCH(B163,Mentees!$A$2:$A$301,0)),"ID not found"))</f>
        <v/>
      </c>
      <c r="D163" s="24" t="n"/>
      <c r="E163" s="24">
        <f>IF(D163="","",IFERROR(INDEX(Mentors!$D$2:$D$151,MATCH(D163,Mentors!$A$2:$A$151,0)),"ID not found"))</f>
        <v/>
      </c>
      <c r="F163" s="24">
        <f>IF(D163="","",IFERROR(INDEX(Mentors!$F$2:$F$151,MATCH(D163,Mentors!$A$2:$A$151,0))&amp;"",""))</f>
        <v/>
      </c>
      <c r="G163" s="24">
        <f>IF(D163="","",IFERROR(INDEX(Mentors!$P$2:$P$151,MATCH(D163,Mentors!$A$2:$A$151,0))&amp;"",""))</f>
        <v/>
      </c>
      <c r="H163" s="32" t="n"/>
      <c r="I163" s="32" t="n"/>
      <c r="J163" s="32" t="n"/>
      <c r="K163" s="24">
        <f>IF(B163="","",COUNT(I163:J163))</f>
        <v/>
      </c>
      <c r="L163" s="24" t="n"/>
      <c r="M163" s="24" t="n"/>
      <c r="N163" s="24" t="n"/>
      <c r="O163" s="24" t="n"/>
    </row>
    <row r="164">
      <c r="A164" s="24" t="inlineStr">
        <is>
          <t>M-163</t>
        </is>
      </c>
      <c r="B164" s="24" t="n"/>
      <c r="C164" s="24">
        <f>IF(B164="","",IFERROR(INDEX(Mentees!$D$2:$D$301,MATCH(B164,Mentees!$A$2:$A$301,0)),"ID not found"))</f>
        <v/>
      </c>
      <c r="D164" s="24" t="n"/>
      <c r="E164" s="24">
        <f>IF(D164="","",IFERROR(INDEX(Mentors!$D$2:$D$151,MATCH(D164,Mentors!$A$2:$A$151,0)),"ID not found"))</f>
        <v/>
      </c>
      <c r="F164" s="24">
        <f>IF(D164="","",IFERROR(INDEX(Mentors!$F$2:$F$151,MATCH(D164,Mentors!$A$2:$A$151,0))&amp;"",""))</f>
        <v/>
      </c>
      <c r="G164" s="24">
        <f>IF(D164="","",IFERROR(INDEX(Mentors!$P$2:$P$151,MATCH(D164,Mentors!$A$2:$A$151,0))&amp;"",""))</f>
        <v/>
      </c>
      <c r="H164" s="32" t="n"/>
      <c r="I164" s="32" t="n"/>
      <c r="J164" s="32" t="n"/>
      <c r="K164" s="24">
        <f>IF(B164="","",COUNT(I164:J164))</f>
        <v/>
      </c>
      <c r="L164" s="24" t="n"/>
      <c r="M164" s="24" t="n"/>
      <c r="N164" s="24" t="n"/>
      <c r="O164" s="24" t="n"/>
    </row>
    <row r="165">
      <c r="A165" s="24" t="inlineStr">
        <is>
          <t>M-164</t>
        </is>
      </c>
      <c r="B165" s="24" t="n"/>
      <c r="C165" s="24">
        <f>IF(B165="","",IFERROR(INDEX(Mentees!$D$2:$D$301,MATCH(B165,Mentees!$A$2:$A$301,0)),"ID not found"))</f>
        <v/>
      </c>
      <c r="D165" s="24" t="n"/>
      <c r="E165" s="24">
        <f>IF(D165="","",IFERROR(INDEX(Mentors!$D$2:$D$151,MATCH(D165,Mentors!$A$2:$A$151,0)),"ID not found"))</f>
        <v/>
      </c>
      <c r="F165" s="24">
        <f>IF(D165="","",IFERROR(INDEX(Mentors!$F$2:$F$151,MATCH(D165,Mentors!$A$2:$A$151,0))&amp;"",""))</f>
        <v/>
      </c>
      <c r="G165" s="24">
        <f>IF(D165="","",IFERROR(INDEX(Mentors!$P$2:$P$151,MATCH(D165,Mentors!$A$2:$A$151,0))&amp;"",""))</f>
        <v/>
      </c>
      <c r="H165" s="32" t="n"/>
      <c r="I165" s="32" t="n"/>
      <c r="J165" s="32" t="n"/>
      <c r="K165" s="24">
        <f>IF(B165="","",COUNT(I165:J165))</f>
        <v/>
      </c>
      <c r="L165" s="24" t="n"/>
      <c r="M165" s="24" t="n"/>
      <c r="N165" s="24" t="n"/>
      <c r="O165" s="24" t="n"/>
    </row>
    <row r="166">
      <c r="A166" s="24" t="inlineStr">
        <is>
          <t>M-165</t>
        </is>
      </c>
      <c r="B166" s="24" t="n"/>
      <c r="C166" s="24">
        <f>IF(B166="","",IFERROR(INDEX(Mentees!$D$2:$D$301,MATCH(B166,Mentees!$A$2:$A$301,0)),"ID not found"))</f>
        <v/>
      </c>
      <c r="D166" s="24" t="n"/>
      <c r="E166" s="24">
        <f>IF(D166="","",IFERROR(INDEX(Mentors!$D$2:$D$151,MATCH(D166,Mentors!$A$2:$A$151,0)),"ID not found"))</f>
        <v/>
      </c>
      <c r="F166" s="24">
        <f>IF(D166="","",IFERROR(INDEX(Mentors!$F$2:$F$151,MATCH(D166,Mentors!$A$2:$A$151,0))&amp;"",""))</f>
        <v/>
      </c>
      <c r="G166" s="24">
        <f>IF(D166="","",IFERROR(INDEX(Mentors!$P$2:$P$151,MATCH(D166,Mentors!$A$2:$A$151,0))&amp;"",""))</f>
        <v/>
      </c>
      <c r="H166" s="32" t="n"/>
      <c r="I166" s="32" t="n"/>
      <c r="J166" s="32" t="n"/>
      <c r="K166" s="24">
        <f>IF(B166="","",COUNT(I166:J166))</f>
        <v/>
      </c>
      <c r="L166" s="24" t="n"/>
      <c r="M166" s="24" t="n"/>
      <c r="N166" s="24" t="n"/>
      <c r="O166" s="24" t="n"/>
    </row>
    <row r="167">
      <c r="A167" s="24" t="inlineStr">
        <is>
          <t>M-166</t>
        </is>
      </c>
      <c r="B167" s="24" t="n"/>
      <c r="C167" s="24">
        <f>IF(B167="","",IFERROR(INDEX(Mentees!$D$2:$D$301,MATCH(B167,Mentees!$A$2:$A$301,0)),"ID not found"))</f>
        <v/>
      </c>
      <c r="D167" s="24" t="n"/>
      <c r="E167" s="24">
        <f>IF(D167="","",IFERROR(INDEX(Mentors!$D$2:$D$151,MATCH(D167,Mentors!$A$2:$A$151,0)),"ID not found"))</f>
        <v/>
      </c>
      <c r="F167" s="24">
        <f>IF(D167="","",IFERROR(INDEX(Mentors!$F$2:$F$151,MATCH(D167,Mentors!$A$2:$A$151,0))&amp;"",""))</f>
        <v/>
      </c>
      <c r="G167" s="24">
        <f>IF(D167="","",IFERROR(INDEX(Mentors!$P$2:$P$151,MATCH(D167,Mentors!$A$2:$A$151,0))&amp;"",""))</f>
        <v/>
      </c>
      <c r="H167" s="32" t="n"/>
      <c r="I167" s="32" t="n"/>
      <c r="J167" s="32" t="n"/>
      <c r="K167" s="24">
        <f>IF(B167="","",COUNT(I167:J167))</f>
        <v/>
      </c>
      <c r="L167" s="24" t="n"/>
      <c r="M167" s="24" t="n"/>
      <c r="N167" s="24" t="n"/>
      <c r="O167" s="24" t="n"/>
    </row>
    <row r="168">
      <c r="A168" s="24" t="inlineStr">
        <is>
          <t>M-167</t>
        </is>
      </c>
      <c r="B168" s="24" t="n"/>
      <c r="C168" s="24">
        <f>IF(B168="","",IFERROR(INDEX(Mentees!$D$2:$D$301,MATCH(B168,Mentees!$A$2:$A$301,0)),"ID not found"))</f>
        <v/>
      </c>
      <c r="D168" s="24" t="n"/>
      <c r="E168" s="24">
        <f>IF(D168="","",IFERROR(INDEX(Mentors!$D$2:$D$151,MATCH(D168,Mentors!$A$2:$A$151,0)),"ID not found"))</f>
        <v/>
      </c>
      <c r="F168" s="24">
        <f>IF(D168="","",IFERROR(INDEX(Mentors!$F$2:$F$151,MATCH(D168,Mentors!$A$2:$A$151,0))&amp;"",""))</f>
        <v/>
      </c>
      <c r="G168" s="24">
        <f>IF(D168="","",IFERROR(INDEX(Mentors!$P$2:$P$151,MATCH(D168,Mentors!$A$2:$A$151,0))&amp;"",""))</f>
        <v/>
      </c>
      <c r="H168" s="32" t="n"/>
      <c r="I168" s="32" t="n"/>
      <c r="J168" s="32" t="n"/>
      <c r="K168" s="24">
        <f>IF(B168="","",COUNT(I168:J168))</f>
        <v/>
      </c>
      <c r="L168" s="24" t="n"/>
      <c r="M168" s="24" t="n"/>
      <c r="N168" s="24" t="n"/>
      <c r="O168" s="24" t="n"/>
    </row>
    <row r="169">
      <c r="A169" s="24" t="inlineStr">
        <is>
          <t>M-168</t>
        </is>
      </c>
      <c r="B169" s="24" t="n"/>
      <c r="C169" s="24">
        <f>IF(B169="","",IFERROR(INDEX(Mentees!$D$2:$D$301,MATCH(B169,Mentees!$A$2:$A$301,0)),"ID not found"))</f>
        <v/>
      </c>
      <c r="D169" s="24" t="n"/>
      <c r="E169" s="24">
        <f>IF(D169="","",IFERROR(INDEX(Mentors!$D$2:$D$151,MATCH(D169,Mentors!$A$2:$A$151,0)),"ID not found"))</f>
        <v/>
      </c>
      <c r="F169" s="24">
        <f>IF(D169="","",IFERROR(INDEX(Mentors!$F$2:$F$151,MATCH(D169,Mentors!$A$2:$A$151,0))&amp;"",""))</f>
        <v/>
      </c>
      <c r="G169" s="24">
        <f>IF(D169="","",IFERROR(INDEX(Mentors!$P$2:$P$151,MATCH(D169,Mentors!$A$2:$A$151,0))&amp;"",""))</f>
        <v/>
      </c>
      <c r="H169" s="32" t="n"/>
      <c r="I169" s="32" t="n"/>
      <c r="J169" s="32" t="n"/>
      <c r="K169" s="24">
        <f>IF(B169="","",COUNT(I169:J169))</f>
        <v/>
      </c>
      <c r="L169" s="24" t="n"/>
      <c r="M169" s="24" t="n"/>
      <c r="N169" s="24" t="n"/>
      <c r="O169" s="24" t="n"/>
    </row>
    <row r="170">
      <c r="A170" s="24" t="inlineStr">
        <is>
          <t>M-169</t>
        </is>
      </c>
      <c r="B170" s="24" t="n"/>
      <c r="C170" s="24">
        <f>IF(B170="","",IFERROR(INDEX(Mentees!$D$2:$D$301,MATCH(B170,Mentees!$A$2:$A$301,0)),"ID not found"))</f>
        <v/>
      </c>
      <c r="D170" s="24" t="n"/>
      <c r="E170" s="24">
        <f>IF(D170="","",IFERROR(INDEX(Mentors!$D$2:$D$151,MATCH(D170,Mentors!$A$2:$A$151,0)),"ID not found"))</f>
        <v/>
      </c>
      <c r="F170" s="24">
        <f>IF(D170="","",IFERROR(INDEX(Mentors!$F$2:$F$151,MATCH(D170,Mentors!$A$2:$A$151,0))&amp;"",""))</f>
        <v/>
      </c>
      <c r="G170" s="24">
        <f>IF(D170="","",IFERROR(INDEX(Mentors!$P$2:$P$151,MATCH(D170,Mentors!$A$2:$A$151,0))&amp;"",""))</f>
        <v/>
      </c>
      <c r="H170" s="32" t="n"/>
      <c r="I170" s="32" t="n"/>
      <c r="J170" s="32" t="n"/>
      <c r="K170" s="24">
        <f>IF(B170="","",COUNT(I170:J170))</f>
        <v/>
      </c>
      <c r="L170" s="24" t="n"/>
      <c r="M170" s="24" t="n"/>
      <c r="N170" s="24" t="n"/>
      <c r="O170" s="24" t="n"/>
    </row>
    <row r="171">
      <c r="A171" s="24" t="inlineStr">
        <is>
          <t>M-170</t>
        </is>
      </c>
      <c r="B171" s="24" t="n"/>
      <c r="C171" s="24">
        <f>IF(B171="","",IFERROR(INDEX(Mentees!$D$2:$D$301,MATCH(B171,Mentees!$A$2:$A$301,0)),"ID not found"))</f>
        <v/>
      </c>
      <c r="D171" s="24" t="n"/>
      <c r="E171" s="24">
        <f>IF(D171="","",IFERROR(INDEX(Mentors!$D$2:$D$151,MATCH(D171,Mentors!$A$2:$A$151,0)),"ID not found"))</f>
        <v/>
      </c>
      <c r="F171" s="24">
        <f>IF(D171="","",IFERROR(INDEX(Mentors!$F$2:$F$151,MATCH(D171,Mentors!$A$2:$A$151,0))&amp;"",""))</f>
        <v/>
      </c>
      <c r="G171" s="24">
        <f>IF(D171="","",IFERROR(INDEX(Mentors!$P$2:$P$151,MATCH(D171,Mentors!$A$2:$A$151,0))&amp;"",""))</f>
        <v/>
      </c>
      <c r="H171" s="32" t="n"/>
      <c r="I171" s="32" t="n"/>
      <c r="J171" s="32" t="n"/>
      <c r="K171" s="24">
        <f>IF(B171="","",COUNT(I171:J171))</f>
        <v/>
      </c>
      <c r="L171" s="24" t="n"/>
      <c r="M171" s="24" t="n"/>
      <c r="N171" s="24" t="n"/>
      <c r="O171" s="24" t="n"/>
    </row>
    <row r="172">
      <c r="A172" s="24" t="inlineStr">
        <is>
          <t>M-171</t>
        </is>
      </c>
      <c r="B172" s="24" t="n"/>
      <c r="C172" s="24">
        <f>IF(B172="","",IFERROR(INDEX(Mentees!$D$2:$D$301,MATCH(B172,Mentees!$A$2:$A$301,0)),"ID not found"))</f>
        <v/>
      </c>
      <c r="D172" s="24" t="n"/>
      <c r="E172" s="24">
        <f>IF(D172="","",IFERROR(INDEX(Mentors!$D$2:$D$151,MATCH(D172,Mentors!$A$2:$A$151,0)),"ID not found"))</f>
        <v/>
      </c>
      <c r="F172" s="24">
        <f>IF(D172="","",IFERROR(INDEX(Mentors!$F$2:$F$151,MATCH(D172,Mentors!$A$2:$A$151,0))&amp;"",""))</f>
        <v/>
      </c>
      <c r="G172" s="24">
        <f>IF(D172="","",IFERROR(INDEX(Mentors!$P$2:$P$151,MATCH(D172,Mentors!$A$2:$A$151,0))&amp;"",""))</f>
        <v/>
      </c>
      <c r="H172" s="32" t="n"/>
      <c r="I172" s="32" t="n"/>
      <c r="J172" s="32" t="n"/>
      <c r="K172" s="24">
        <f>IF(B172="","",COUNT(I172:J172))</f>
        <v/>
      </c>
      <c r="L172" s="24" t="n"/>
      <c r="M172" s="24" t="n"/>
      <c r="N172" s="24" t="n"/>
      <c r="O172" s="24" t="n"/>
    </row>
    <row r="173">
      <c r="A173" s="24" t="inlineStr">
        <is>
          <t>M-172</t>
        </is>
      </c>
      <c r="B173" s="24" t="n"/>
      <c r="C173" s="24">
        <f>IF(B173="","",IFERROR(INDEX(Mentees!$D$2:$D$301,MATCH(B173,Mentees!$A$2:$A$301,0)),"ID not found"))</f>
        <v/>
      </c>
      <c r="D173" s="24" t="n"/>
      <c r="E173" s="24">
        <f>IF(D173="","",IFERROR(INDEX(Mentors!$D$2:$D$151,MATCH(D173,Mentors!$A$2:$A$151,0)),"ID not found"))</f>
        <v/>
      </c>
      <c r="F173" s="24">
        <f>IF(D173="","",IFERROR(INDEX(Mentors!$F$2:$F$151,MATCH(D173,Mentors!$A$2:$A$151,0))&amp;"",""))</f>
        <v/>
      </c>
      <c r="G173" s="24">
        <f>IF(D173="","",IFERROR(INDEX(Mentors!$P$2:$P$151,MATCH(D173,Mentors!$A$2:$A$151,0))&amp;"",""))</f>
        <v/>
      </c>
      <c r="H173" s="32" t="n"/>
      <c r="I173" s="32" t="n"/>
      <c r="J173" s="32" t="n"/>
      <c r="K173" s="24">
        <f>IF(B173="","",COUNT(I173:J173))</f>
        <v/>
      </c>
      <c r="L173" s="24" t="n"/>
      <c r="M173" s="24" t="n"/>
      <c r="N173" s="24" t="n"/>
      <c r="O173" s="24" t="n"/>
    </row>
    <row r="174">
      <c r="A174" s="24" t="inlineStr">
        <is>
          <t>M-173</t>
        </is>
      </c>
      <c r="B174" s="24" t="n"/>
      <c r="C174" s="24">
        <f>IF(B174="","",IFERROR(INDEX(Mentees!$D$2:$D$301,MATCH(B174,Mentees!$A$2:$A$301,0)),"ID not found"))</f>
        <v/>
      </c>
      <c r="D174" s="24" t="n"/>
      <c r="E174" s="24">
        <f>IF(D174="","",IFERROR(INDEX(Mentors!$D$2:$D$151,MATCH(D174,Mentors!$A$2:$A$151,0)),"ID not found"))</f>
        <v/>
      </c>
      <c r="F174" s="24">
        <f>IF(D174="","",IFERROR(INDEX(Mentors!$F$2:$F$151,MATCH(D174,Mentors!$A$2:$A$151,0))&amp;"",""))</f>
        <v/>
      </c>
      <c r="G174" s="24">
        <f>IF(D174="","",IFERROR(INDEX(Mentors!$P$2:$P$151,MATCH(D174,Mentors!$A$2:$A$151,0))&amp;"",""))</f>
        <v/>
      </c>
      <c r="H174" s="32" t="n"/>
      <c r="I174" s="32" t="n"/>
      <c r="J174" s="32" t="n"/>
      <c r="K174" s="24">
        <f>IF(B174="","",COUNT(I174:J174))</f>
        <v/>
      </c>
      <c r="L174" s="24" t="n"/>
      <c r="M174" s="24" t="n"/>
      <c r="N174" s="24" t="n"/>
      <c r="O174" s="24" t="n"/>
    </row>
    <row r="175">
      <c r="A175" s="24" t="inlineStr">
        <is>
          <t>M-174</t>
        </is>
      </c>
      <c r="B175" s="24" t="n"/>
      <c r="C175" s="24">
        <f>IF(B175="","",IFERROR(INDEX(Mentees!$D$2:$D$301,MATCH(B175,Mentees!$A$2:$A$301,0)),"ID not found"))</f>
        <v/>
      </c>
      <c r="D175" s="24" t="n"/>
      <c r="E175" s="24">
        <f>IF(D175="","",IFERROR(INDEX(Mentors!$D$2:$D$151,MATCH(D175,Mentors!$A$2:$A$151,0)),"ID not found"))</f>
        <v/>
      </c>
      <c r="F175" s="24">
        <f>IF(D175="","",IFERROR(INDEX(Mentors!$F$2:$F$151,MATCH(D175,Mentors!$A$2:$A$151,0))&amp;"",""))</f>
        <v/>
      </c>
      <c r="G175" s="24">
        <f>IF(D175="","",IFERROR(INDEX(Mentors!$P$2:$P$151,MATCH(D175,Mentors!$A$2:$A$151,0))&amp;"",""))</f>
        <v/>
      </c>
      <c r="H175" s="32" t="n"/>
      <c r="I175" s="32" t="n"/>
      <c r="J175" s="32" t="n"/>
      <c r="K175" s="24">
        <f>IF(B175="","",COUNT(I175:J175))</f>
        <v/>
      </c>
      <c r="L175" s="24" t="n"/>
      <c r="M175" s="24" t="n"/>
      <c r="N175" s="24" t="n"/>
      <c r="O175" s="24" t="n"/>
    </row>
    <row r="176">
      <c r="A176" s="24" t="inlineStr">
        <is>
          <t>M-175</t>
        </is>
      </c>
      <c r="B176" s="24" t="n"/>
      <c r="C176" s="24">
        <f>IF(B176="","",IFERROR(INDEX(Mentees!$D$2:$D$301,MATCH(B176,Mentees!$A$2:$A$301,0)),"ID not found"))</f>
        <v/>
      </c>
      <c r="D176" s="24" t="n"/>
      <c r="E176" s="24">
        <f>IF(D176="","",IFERROR(INDEX(Mentors!$D$2:$D$151,MATCH(D176,Mentors!$A$2:$A$151,0)),"ID not found"))</f>
        <v/>
      </c>
      <c r="F176" s="24">
        <f>IF(D176="","",IFERROR(INDEX(Mentors!$F$2:$F$151,MATCH(D176,Mentors!$A$2:$A$151,0))&amp;"",""))</f>
        <v/>
      </c>
      <c r="G176" s="24">
        <f>IF(D176="","",IFERROR(INDEX(Mentors!$P$2:$P$151,MATCH(D176,Mentors!$A$2:$A$151,0))&amp;"",""))</f>
        <v/>
      </c>
      <c r="H176" s="32" t="n"/>
      <c r="I176" s="32" t="n"/>
      <c r="J176" s="32" t="n"/>
      <c r="K176" s="24">
        <f>IF(B176="","",COUNT(I176:J176))</f>
        <v/>
      </c>
      <c r="L176" s="24" t="n"/>
      <c r="M176" s="24" t="n"/>
      <c r="N176" s="24" t="n"/>
      <c r="O176" s="24" t="n"/>
    </row>
    <row r="177">
      <c r="A177" s="24" t="inlineStr">
        <is>
          <t>M-176</t>
        </is>
      </c>
      <c r="B177" s="24" t="n"/>
      <c r="C177" s="24">
        <f>IF(B177="","",IFERROR(INDEX(Mentees!$D$2:$D$301,MATCH(B177,Mentees!$A$2:$A$301,0)),"ID not found"))</f>
        <v/>
      </c>
      <c r="D177" s="24" t="n"/>
      <c r="E177" s="24">
        <f>IF(D177="","",IFERROR(INDEX(Mentors!$D$2:$D$151,MATCH(D177,Mentors!$A$2:$A$151,0)),"ID not found"))</f>
        <v/>
      </c>
      <c r="F177" s="24">
        <f>IF(D177="","",IFERROR(INDEX(Mentors!$F$2:$F$151,MATCH(D177,Mentors!$A$2:$A$151,0))&amp;"",""))</f>
        <v/>
      </c>
      <c r="G177" s="24">
        <f>IF(D177="","",IFERROR(INDEX(Mentors!$P$2:$P$151,MATCH(D177,Mentors!$A$2:$A$151,0))&amp;"",""))</f>
        <v/>
      </c>
      <c r="H177" s="32" t="n"/>
      <c r="I177" s="32" t="n"/>
      <c r="J177" s="32" t="n"/>
      <c r="K177" s="24">
        <f>IF(B177="","",COUNT(I177:J177))</f>
        <v/>
      </c>
      <c r="L177" s="24" t="n"/>
      <c r="M177" s="24" t="n"/>
      <c r="N177" s="24" t="n"/>
      <c r="O177" s="24" t="n"/>
    </row>
    <row r="178">
      <c r="A178" s="24" t="inlineStr">
        <is>
          <t>M-177</t>
        </is>
      </c>
      <c r="B178" s="24" t="n"/>
      <c r="C178" s="24">
        <f>IF(B178="","",IFERROR(INDEX(Mentees!$D$2:$D$301,MATCH(B178,Mentees!$A$2:$A$301,0)),"ID not found"))</f>
        <v/>
      </c>
      <c r="D178" s="24" t="n"/>
      <c r="E178" s="24">
        <f>IF(D178="","",IFERROR(INDEX(Mentors!$D$2:$D$151,MATCH(D178,Mentors!$A$2:$A$151,0)),"ID not found"))</f>
        <v/>
      </c>
      <c r="F178" s="24">
        <f>IF(D178="","",IFERROR(INDEX(Mentors!$F$2:$F$151,MATCH(D178,Mentors!$A$2:$A$151,0))&amp;"",""))</f>
        <v/>
      </c>
      <c r="G178" s="24">
        <f>IF(D178="","",IFERROR(INDEX(Mentors!$P$2:$P$151,MATCH(D178,Mentors!$A$2:$A$151,0))&amp;"",""))</f>
        <v/>
      </c>
      <c r="H178" s="32" t="n"/>
      <c r="I178" s="32" t="n"/>
      <c r="J178" s="32" t="n"/>
      <c r="K178" s="24">
        <f>IF(B178="","",COUNT(I178:J178))</f>
        <v/>
      </c>
      <c r="L178" s="24" t="n"/>
      <c r="M178" s="24" t="n"/>
      <c r="N178" s="24" t="n"/>
      <c r="O178" s="24" t="n"/>
    </row>
    <row r="179">
      <c r="A179" s="24" t="inlineStr">
        <is>
          <t>M-178</t>
        </is>
      </c>
      <c r="B179" s="24" t="n"/>
      <c r="C179" s="24">
        <f>IF(B179="","",IFERROR(INDEX(Mentees!$D$2:$D$301,MATCH(B179,Mentees!$A$2:$A$301,0)),"ID not found"))</f>
        <v/>
      </c>
      <c r="D179" s="24" t="n"/>
      <c r="E179" s="24">
        <f>IF(D179="","",IFERROR(INDEX(Mentors!$D$2:$D$151,MATCH(D179,Mentors!$A$2:$A$151,0)),"ID not found"))</f>
        <v/>
      </c>
      <c r="F179" s="24">
        <f>IF(D179="","",IFERROR(INDEX(Mentors!$F$2:$F$151,MATCH(D179,Mentors!$A$2:$A$151,0))&amp;"",""))</f>
        <v/>
      </c>
      <c r="G179" s="24">
        <f>IF(D179="","",IFERROR(INDEX(Mentors!$P$2:$P$151,MATCH(D179,Mentors!$A$2:$A$151,0))&amp;"",""))</f>
        <v/>
      </c>
      <c r="H179" s="32" t="n"/>
      <c r="I179" s="32" t="n"/>
      <c r="J179" s="32" t="n"/>
      <c r="K179" s="24">
        <f>IF(B179="","",COUNT(I179:J179))</f>
        <v/>
      </c>
      <c r="L179" s="24" t="n"/>
      <c r="M179" s="24" t="n"/>
      <c r="N179" s="24" t="n"/>
      <c r="O179" s="24" t="n"/>
    </row>
    <row r="180">
      <c r="A180" s="24" t="inlineStr">
        <is>
          <t>M-179</t>
        </is>
      </c>
      <c r="B180" s="24" t="n"/>
      <c r="C180" s="24">
        <f>IF(B180="","",IFERROR(INDEX(Mentees!$D$2:$D$301,MATCH(B180,Mentees!$A$2:$A$301,0)),"ID not found"))</f>
        <v/>
      </c>
      <c r="D180" s="24" t="n"/>
      <c r="E180" s="24">
        <f>IF(D180="","",IFERROR(INDEX(Mentors!$D$2:$D$151,MATCH(D180,Mentors!$A$2:$A$151,0)),"ID not found"))</f>
        <v/>
      </c>
      <c r="F180" s="24">
        <f>IF(D180="","",IFERROR(INDEX(Mentors!$F$2:$F$151,MATCH(D180,Mentors!$A$2:$A$151,0))&amp;"",""))</f>
        <v/>
      </c>
      <c r="G180" s="24">
        <f>IF(D180="","",IFERROR(INDEX(Mentors!$P$2:$P$151,MATCH(D180,Mentors!$A$2:$A$151,0))&amp;"",""))</f>
        <v/>
      </c>
      <c r="H180" s="32" t="n"/>
      <c r="I180" s="32" t="n"/>
      <c r="J180" s="32" t="n"/>
      <c r="K180" s="24">
        <f>IF(B180="","",COUNT(I180:J180))</f>
        <v/>
      </c>
      <c r="L180" s="24" t="n"/>
      <c r="M180" s="24" t="n"/>
      <c r="N180" s="24" t="n"/>
      <c r="O180" s="24" t="n"/>
    </row>
    <row r="181">
      <c r="A181" s="24" t="inlineStr">
        <is>
          <t>M-180</t>
        </is>
      </c>
      <c r="B181" s="24" t="n"/>
      <c r="C181" s="24">
        <f>IF(B181="","",IFERROR(INDEX(Mentees!$D$2:$D$301,MATCH(B181,Mentees!$A$2:$A$301,0)),"ID not found"))</f>
        <v/>
      </c>
      <c r="D181" s="24" t="n"/>
      <c r="E181" s="24">
        <f>IF(D181="","",IFERROR(INDEX(Mentors!$D$2:$D$151,MATCH(D181,Mentors!$A$2:$A$151,0)),"ID not found"))</f>
        <v/>
      </c>
      <c r="F181" s="24">
        <f>IF(D181="","",IFERROR(INDEX(Mentors!$F$2:$F$151,MATCH(D181,Mentors!$A$2:$A$151,0))&amp;"",""))</f>
        <v/>
      </c>
      <c r="G181" s="24">
        <f>IF(D181="","",IFERROR(INDEX(Mentors!$P$2:$P$151,MATCH(D181,Mentors!$A$2:$A$151,0))&amp;"",""))</f>
        <v/>
      </c>
      <c r="H181" s="32" t="n"/>
      <c r="I181" s="32" t="n"/>
      <c r="J181" s="32" t="n"/>
      <c r="K181" s="24">
        <f>IF(B181="","",COUNT(I181:J181))</f>
        <v/>
      </c>
      <c r="L181" s="24" t="n"/>
      <c r="M181" s="24" t="n"/>
      <c r="N181" s="24" t="n"/>
      <c r="O181" s="24" t="n"/>
    </row>
    <row r="182">
      <c r="A182" s="24" t="inlineStr">
        <is>
          <t>M-181</t>
        </is>
      </c>
      <c r="B182" s="24" t="n"/>
      <c r="C182" s="24">
        <f>IF(B182="","",IFERROR(INDEX(Mentees!$D$2:$D$301,MATCH(B182,Mentees!$A$2:$A$301,0)),"ID not found"))</f>
        <v/>
      </c>
      <c r="D182" s="24" t="n"/>
      <c r="E182" s="24">
        <f>IF(D182="","",IFERROR(INDEX(Mentors!$D$2:$D$151,MATCH(D182,Mentors!$A$2:$A$151,0)),"ID not found"))</f>
        <v/>
      </c>
      <c r="F182" s="24">
        <f>IF(D182="","",IFERROR(INDEX(Mentors!$F$2:$F$151,MATCH(D182,Mentors!$A$2:$A$151,0))&amp;"",""))</f>
        <v/>
      </c>
      <c r="G182" s="24">
        <f>IF(D182="","",IFERROR(INDEX(Mentors!$P$2:$P$151,MATCH(D182,Mentors!$A$2:$A$151,0))&amp;"",""))</f>
        <v/>
      </c>
      <c r="H182" s="32" t="n"/>
      <c r="I182" s="32" t="n"/>
      <c r="J182" s="32" t="n"/>
      <c r="K182" s="24">
        <f>IF(B182="","",COUNT(I182:J182))</f>
        <v/>
      </c>
      <c r="L182" s="24" t="n"/>
      <c r="M182" s="24" t="n"/>
      <c r="N182" s="24" t="n"/>
      <c r="O182" s="24" t="n"/>
    </row>
    <row r="183">
      <c r="A183" s="24" t="inlineStr">
        <is>
          <t>M-182</t>
        </is>
      </c>
      <c r="B183" s="24" t="n"/>
      <c r="C183" s="24">
        <f>IF(B183="","",IFERROR(INDEX(Mentees!$D$2:$D$301,MATCH(B183,Mentees!$A$2:$A$301,0)),"ID not found"))</f>
        <v/>
      </c>
      <c r="D183" s="24" t="n"/>
      <c r="E183" s="24">
        <f>IF(D183="","",IFERROR(INDEX(Mentors!$D$2:$D$151,MATCH(D183,Mentors!$A$2:$A$151,0)),"ID not found"))</f>
        <v/>
      </c>
      <c r="F183" s="24">
        <f>IF(D183="","",IFERROR(INDEX(Mentors!$F$2:$F$151,MATCH(D183,Mentors!$A$2:$A$151,0))&amp;"",""))</f>
        <v/>
      </c>
      <c r="G183" s="24">
        <f>IF(D183="","",IFERROR(INDEX(Mentors!$P$2:$P$151,MATCH(D183,Mentors!$A$2:$A$151,0))&amp;"",""))</f>
        <v/>
      </c>
      <c r="H183" s="32" t="n"/>
      <c r="I183" s="32" t="n"/>
      <c r="J183" s="32" t="n"/>
      <c r="K183" s="24">
        <f>IF(B183="","",COUNT(I183:J183))</f>
        <v/>
      </c>
      <c r="L183" s="24" t="n"/>
      <c r="M183" s="24" t="n"/>
      <c r="N183" s="24" t="n"/>
      <c r="O183" s="24" t="n"/>
    </row>
    <row r="184">
      <c r="A184" s="24" t="inlineStr">
        <is>
          <t>M-183</t>
        </is>
      </c>
      <c r="B184" s="24" t="n"/>
      <c r="C184" s="24">
        <f>IF(B184="","",IFERROR(INDEX(Mentees!$D$2:$D$301,MATCH(B184,Mentees!$A$2:$A$301,0)),"ID not found"))</f>
        <v/>
      </c>
      <c r="D184" s="24" t="n"/>
      <c r="E184" s="24">
        <f>IF(D184="","",IFERROR(INDEX(Mentors!$D$2:$D$151,MATCH(D184,Mentors!$A$2:$A$151,0)),"ID not found"))</f>
        <v/>
      </c>
      <c r="F184" s="24">
        <f>IF(D184="","",IFERROR(INDEX(Mentors!$F$2:$F$151,MATCH(D184,Mentors!$A$2:$A$151,0))&amp;"",""))</f>
        <v/>
      </c>
      <c r="G184" s="24">
        <f>IF(D184="","",IFERROR(INDEX(Mentors!$P$2:$P$151,MATCH(D184,Mentors!$A$2:$A$151,0))&amp;"",""))</f>
        <v/>
      </c>
      <c r="H184" s="32" t="n"/>
      <c r="I184" s="32" t="n"/>
      <c r="J184" s="32" t="n"/>
      <c r="K184" s="24">
        <f>IF(B184="","",COUNT(I184:J184))</f>
        <v/>
      </c>
      <c r="L184" s="24" t="n"/>
      <c r="M184" s="24" t="n"/>
      <c r="N184" s="24" t="n"/>
      <c r="O184" s="24" t="n"/>
    </row>
    <row r="185">
      <c r="A185" s="24" t="inlineStr">
        <is>
          <t>M-184</t>
        </is>
      </c>
      <c r="B185" s="24" t="n"/>
      <c r="C185" s="24">
        <f>IF(B185="","",IFERROR(INDEX(Mentees!$D$2:$D$301,MATCH(B185,Mentees!$A$2:$A$301,0)),"ID not found"))</f>
        <v/>
      </c>
      <c r="D185" s="24" t="n"/>
      <c r="E185" s="24">
        <f>IF(D185="","",IFERROR(INDEX(Mentors!$D$2:$D$151,MATCH(D185,Mentors!$A$2:$A$151,0)),"ID not found"))</f>
        <v/>
      </c>
      <c r="F185" s="24">
        <f>IF(D185="","",IFERROR(INDEX(Mentors!$F$2:$F$151,MATCH(D185,Mentors!$A$2:$A$151,0))&amp;"",""))</f>
        <v/>
      </c>
      <c r="G185" s="24">
        <f>IF(D185="","",IFERROR(INDEX(Mentors!$P$2:$P$151,MATCH(D185,Mentors!$A$2:$A$151,0))&amp;"",""))</f>
        <v/>
      </c>
      <c r="H185" s="32" t="n"/>
      <c r="I185" s="32" t="n"/>
      <c r="J185" s="32" t="n"/>
      <c r="K185" s="24">
        <f>IF(B185="","",COUNT(I185:J185))</f>
        <v/>
      </c>
      <c r="L185" s="24" t="n"/>
      <c r="M185" s="24" t="n"/>
      <c r="N185" s="24" t="n"/>
      <c r="O185" s="24" t="n"/>
    </row>
    <row r="186">
      <c r="A186" s="24" t="inlineStr">
        <is>
          <t>M-185</t>
        </is>
      </c>
      <c r="B186" s="24" t="n"/>
      <c r="C186" s="24">
        <f>IF(B186="","",IFERROR(INDEX(Mentees!$D$2:$D$301,MATCH(B186,Mentees!$A$2:$A$301,0)),"ID not found"))</f>
        <v/>
      </c>
      <c r="D186" s="24" t="n"/>
      <c r="E186" s="24">
        <f>IF(D186="","",IFERROR(INDEX(Mentors!$D$2:$D$151,MATCH(D186,Mentors!$A$2:$A$151,0)),"ID not found"))</f>
        <v/>
      </c>
      <c r="F186" s="24">
        <f>IF(D186="","",IFERROR(INDEX(Mentors!$F$2:$F$151,MATCH(D186,Mentors!$A$2:$A$151,0))&amp;"",""))</f>
        <v/>
      </c>
      <c r="G186" s="24">
        <f>IF(D186="","",IFERROR(INDEX(Mentors!$P$2:$P$151,MATCH(D186,Mentors!$A$2:$A$151,0))&amp;"",""))</f>
        <v/>
      </c>
      <c r="H186" s="32" t="n"/>
      <c r="I186" s="32" t="n"/>
      <c r="J186" s="32" t="n"/>
      <c r="K186" s="24">
        <f>IF(B186="","",COUNT(I186:J186))</f>
        <v/>
      </c>
      <c r="L186" s="24" t="n"/>
      <c r="M186" s="24" t="n"/>
      <c r="N186" s="24" t="n"/>
      <c r="O186" s="24" t="n"/>
    </row>
    <row r="187">
      <c r="A187" s="24" t="inlineStr">
        <is>
          <t>M-186</t>
        </is>
      </c>
      <c r="B187" s="24" t="n"/>
      <c r="C187" s="24">
        <f>IF(B187="","",IFERROR(INDEX(Mentees!$D$2:$D$301,MATCH(B187,Mentees!$A$2:$A$301,0)),"ID not found"))</f>
        <v/>
      </c>
      <c r="D187" s="24" t="n"/>
      <c r="E187" s="24">
        <f>IF(D187="","",IFERROR(INDEX(Mentors!$D$2:$D$151,MATCH(D187,Mentors!$A$2:$A$151,0)),"ID not found"))</f>
        <v/>
      </c>
      <c r="F187" s="24">
        <f>IF(D187="","",IFERROR(INDEX(Mentors!$F$2:$F$151,MATCH(D187,Mentors!$A$2:$A$151,0))&amp;"",""))</f>
        <v/>
      </c>
      <c r="G187" s="24">
        <f>IF(D187="","",IFERROR(INDEX(Mentors!$P$2:$P$151,MATCH(D187,Mentors!$A$2:$A$151,0))&amp;"",""))</f>
        <v/>
      </c>
      <c r="H187" s="32" t="n"/>
      <c r="I187" s="32" t="n"/>
      <c r="J187" s="32" t="n"/>
      <c r="K187" s="24">
        <f>IF(B187="","",COUNT(I187:J187))</f>
        <v/>
      </c>
      <c r="L187" s="24" t="n"/>
      <c r="M187" s="24" t="n"/>
      <c r="N187" s="24" t="n"/>
      <c r="O187" s="24" t="n"/>
    </row>
    <row r="188">
      <c r="A188" s="24" t="inlineStr">
        <is>
          <t>M-187</t>
        </is>
      </c>
      <c r="B188" s="24" t="n"/>
      <c r="C188" s="24">
        <f>IF(B188="","",IFERROR(INDEX(Mentees!$D$2:$D$301,MATCH(B188,Mentees!$A$2:$A$301,0)),"ID not found"))</f>
        <v/>
      </c>
      <c r="D188" s="24" t="n"/>
      <c r="E188" s="24">
        <f>IF(D188="","",IFERROR(INDEX(Mentors!$D$2:$D$151,MATCH(D188,Mentors!$A$2:$A$151,0)),"ID not found"))</f>
        <v/>
      </c>
      <c r="F188" s="24">
        <f>IF(D188="","",IFERROR(INDEX(Mentors!$F$2:$F$151,MATCH(D188,Mentors!$A$2:$A$151,0))&amp;"",""))</f>
        <v/>
      </c>
      <c r="G188" s="24">
        <f>IF(D188="","",IFERROR(INDEX(Mentors!$P$2:$P$151,MATCH(D188,Mentors!$A$2:$A$151,0))&amp;"",""))</f>
        <v/>
      </c>
      <c r="H188" s="32" t="n"/>
      <c r="I188" s="32" t="n"/>
      <c r="J188" s="32" t="n"/>
      <c r="K188" s="24">
        <f>IF(B188="","",COUNT(I188:J188))</f>
        <v/>
      </c>
      <c r="L188" s="24" t="n"/>
      <c r="M188" s="24" t="n"/>
      <c r="N188" s="24" t="n"/>
      <c r="O188" s="24" t="n"/>
    </row>
    <row r="189">
      <c r="A189" s="24" t="inlineStr">
        <is>
          <t>M-188</t>
        </is>
      </c>
      <c r="B189" s="24" t="n"/>
      <c r="C189" s="24">
        <f>IF(B189="","",IFERROR(INDEX(Mentees!$D$2:$D$301,MATCH(B189,Mentees!$A$2:$A$301,0)),"ID not found"))</f>
        <v/>
      </c>
      <c r="D189" s="24" t="n"/>
      <c r="E189" s="24">
        <f>IF(D189="","",IFERROR(INDEX(Mentors!$D$2:$D$151,MATCH(D189,Mentors!$A$2:$A$151,0)),"ID not found"))</f>
        <v/>
      </c>
      <c r="F189" s="24">
        <f>IF(D189="","",IFERROR(INDEX(Mentors!$F$2:$F$151,MATCH(D189,Mentors!$A$2:$A$151,0))&amp;"",""))</f>
        <v/>
      </c>
      <c r="G189" s="24">
        <f>IF(D189="","",IFERROR(INDEX(Mentors!$P$2:$P$151,MATCH(D189,Mentors!$A$2:$A$151,0))&amp;"",""))</f>
        <v/>
      </c>
      <c r="H189" s="32" t="n"/>
      <c r="I189" s="32" t="n"/>
      <c r="J189" s="32" t="n"/>
      <c r="K189" s="24">
        <f>IF(B189="","",COUNT(I189:J189))</f>
        <v/>
      </c>
      <c r="L189" s="24" t="n"/>
      <c r="M189" s="24" t="n"/>
      <c r="N189" s="24" t="n"/>
      <c r="O189" s="24" t="n"/>
    </row>
    <row r="190">
      <c r="A190" s="24" t="inlineStr">
        <is>
          <t>M-189</t>
        </is>
      </c>
      <c r="B190" s="24" t="n"/>
      <c r="C190" s="24">
        <f>IF(B190="","",IFERROR(INDEX(Mentees!$D$2:$D$301,MATCH(B190,Mentees!$A$2:$A$301,0)),"ID not found"))</f>
        <v/>
      </c>
      <c r="D190" s="24" t="n"/>
      <c r="E190" s="24">
        <f>IF(D190="","",IFERROR(INDEX(Mentors!$D$2:$D$151,MATCH(D190,Mentors!$A$2:$A$151,0)),"ID not found"))</f>
        <v/>
      </c>
      <c r="F190" s="24">
        <f>IF(D190="","",IFERROR(INDEX(Mentors!$F$2:$F$151,MATCH(D190,Mentors!$A$2:$A$151,0))&amp;"",""))</f>
        <v/>
      </c>
      <c r="G190" s="24">
        <f>IF(D190="","",IFERROR(INDEX(Mentors!$P$2:$P$151,MATCH(D190,Mentors!$A$2:$A$151,0))&amp;"",""))</f>
        <v/>
      </c>
      <c r="H190" s="32" t="n"/>
      <c r="I190" s="32" t="n"/>
      <c r="J190" s="32" t="n"/>
      <c r="K190" s="24">
        <f>IF(B190="","",COUNT(I190:J190))</f>
        <v/>
      </c>
      <c r="L190" s="24" t="n"/>
      <c r="M190" s="24" t="n"/>
      <c r="N190" s="24" t="n"/>
      <c r="O190" s="24" t="n"/>
    </row>
    <row r="191">
      <c r="A191" s="24" t="inlineStr">
        <is>
          <t>M-190</t>
        </is>
      </c>
      <c r="B191" s="24" t="n"/>
      <c r="C191" s="24">
        <f>IF(B191="","",IFERROR(INDEX(Mentees!$D$2:$D$301,MATCH(B191,Mentees!$A$2:$A$301,0)),"ID not found"))</f>
        <v/>
      </c>
      <c r="D191" s="24" t="n"/>
      <c r="E191" s="24">
        <f>IF(D191="","",IFERROR(INDEX(Mentors!$D$2:$D$151,MATCH(D191,Mentors!$A$2:$A$151,0)),"ID not found"))</f>
        <v/>
      </c>
      <c r="F191" s="24">
        <f>IF(D191="","",IFERROR(INDEX(Mentors!$F$2:$F$151,MATCH(D191,Mentors!$A$2:$A$151,0))&amp;"",""))</f>
        <v/>
      </c>
      <c r="G191" s="24">
        <f>IF(D191="","",IFERROR(INDEX(Mentors!$P$2:$P$151,MATCH(D191,Mentors!$A$2:$A$151,0))&amp;"",""))</f>
        <v/>
      </c>
      <c r="H191" s="32" t="n"/>
      <c r="I191" s="32" t="n"/>
      <c r="J191" s="32" t="n"/>
      <c r="K191" s="24">
        <f>IF(B191="","",COUNT(I191:J191))</f>
        <v/>
      </c>
      <c r="L191" s="24" t="n"/>
      <c r="M191" s="24" t="n"/>
      <c r="N191" s="24" t="n"/>
      <c r="O191" s="24" t="n"/>
    </row>
    <row r="192">
      <c r="A192" s="24" t="inlineStr">
        <is>
          <t>M-191</t>
        </is>
      </c>
      <c r="B192" s="24" t="n"/>
      <c r="C192" s="24">
        <f>IF(B192="","",IFERROR(INDEX(Mentees!$D$2:$D$301,MATCH(B192,Mentees!$A$2:$A$301,0)),"ID not found"))</f>
        <v/>
      </c>
      <c r="D192" s="24" t="n"/>
      <c r="E192" s="24">
        <f>IF(D192="","",IFERROR(INDEX(Mentors!$D$2:$D$151,MATCH(D192,Mentors!$A$2:$A$151,0)),"ID not found"))</f>
        <v/>
      </c>
      <c r="F192" s="24">
        <f>IF(D192="","",IFERROR(INDEX(Mentors!$F$2:$F$151,MATCH(D192,Mentors!$A$2:$A$151,0))&amp;"",""))</f>
        <v/>
      </c>
      <c r="G192" s="24">
        <f>IF(D192="","",IFERROR(INDEX(Mentors!$P$2:$P$151,MATCH(D192,Mentors!$A$2:$A$151,0))&amp;"",""))</f>
        <v/>
      </c>
      <c r="H192" s="32" t="n"/>
      <c r="I192" s="32" t="n"/>
      <c r="J192" s="32" t="n"/>
      <c r="K192" s="24">
        <f>IF(B192="","",COUNT(I192:J192))</f>
        <v/>
      </c>
      <c r="L192" s="24" t="n"/>
      <c r="M192" s="24" t="n"/>
      <c r="N192" s="24" t="n"/>
      <c r="O192" s="24" t="n"/>
    </row>
    <row r="193">
      <c r="A193" s="24" t="inlineStr">
        <is>
          <t>M-192</t>
        </is>
      </c>
      <c r="B193" s="24" t="n"/>
      <c r="C193" s="24">
        <f>IF(B193="","",IFERROR(INDEX(Mentees!$D$2:$D$301,MATCH(B193,Mentees!$A$2:$A$301,0)),"ID not found"))</f>
        <v/>
      </c>
      <c r="D193" s="24" t="n"/>
      <c r="E193" s="24">
        <f>IF(D193="","",IFERROR(INDEX(Mentors!$D$2:$D$151,MATCH(D193,Mentors!$A$2:$A$151,0)),"ID not found"))</f>
        <v/>
      </c>
      <c r="F193" s="24">
        <f>IF(D193="","",IFERROR(INDEX(Mentors!$F$2:$F$151,MATCH(D193,Mentors!$A$2:$A$151,0))&amp;"",""))</f>
        <v/>
      </c>
      <c r="G193" s="24">
        <f>IF(D193="","",IFERROR(INDEX(Mentors!$P$2:$P$151,MATCH(D193,Mentors!$A$2:$A$151,0))&amp;"",""))</f>
        <v/>
      </c>
      <c r="H193" s="32" t="n"/>
      <c r="I193" s="32" t="n"/>
      <c r="J193" s="32" t="n"/>
      <c r="K193" s="24">
        <f>IF(B193="","",COUNT(I193:J193))</f>
        <v/>
      </c>
      <c r="L193" s="24" t="n"/>
      <c r="M193" s="24" t="n"/>
      <c r="N193" s="24" t="n"/>
      <c r="O193" s="24" t="n"/>
    </row>
    <row r="194">
      <c r="A194" s="24" t="inlineStr">
        <is>
          <t>M-193</t>
        </is>
      </c>
      <c r="B194" s="24" t="n"/>
      <c r="C194" s="24">
        <f>IF(B194="","",IFERROR(INDEX(Mentees!$D$2:$D$301,MATCH(B194,Mentees!$A$2:$A$301,0)),"ID not found"))</f>
        <v/>
      </c>
      <c r="D194" s="24" t="n"/>
      <c r="E194" s="24">
        <f>IF(D194="","",IFERROR(INDEX(Mentors!$D$2:$D$151,MATCH(D194,Mentors!$A$2:$A$151,0)),"ID not found"))</f>
        <v/>
      </c>
      <c r="F194" s="24">
        <f>IF(D194="","",IFERROR(INDEX(Mentors!$F$2:$F$151,MATCH(D194,Mentors!$A$2:$A$151,0))&amp;"",""))</f>
        <v/>
      </c>
      <c r="G194" s="24">
        <f>IF(D194="","",IFERROR(INDEX(Mentors!$P$2:$P$151,MATCH(D194,Mentors!$A$2:$A$151,0))&amp;"",""))</f>
        <v/>
      </c>
      <c r="H194" s="32" t="n"/>
      <c r="I194" s="32" t="n"/>
      <c r="J194" s="32" t="n"/>
      <c r="K194" s="24">
        <f>IF(B194="","",COUNT(I194:J194))</f>
        <v/>
      </c>
      <c r="L194" s="24" t="n"/>
      <c r="M194" s="24" t="n"/>
      <c r="N194" s="24" t="n"/>
      <c r="O194" s="24" t="n"/>
    </row>
    <row r="195">
      <c r="A195" s="24" t="inlineStr">
        <is>
          <t>M-194</t>
        </is>
      </c>
      <c r="B195" s="24" t="n"/>
      <c r="C195" s="24">
        <f>IF(B195="","",IFERROR(INDEX(Mentees!$D$2:$D$301,MATCH(B195,Mentees!$A$2:$A$301,0)),"ID not found"))</f>
        <v/>
      </c>
      <c r="D195" s="24" t="n"/>
      <c r="E195" s="24">
        <f>IF(D195="","",IFERROR(INDEX(Mentors!$D$2:$D$151,MATCH(D195,Mentors!$A$2:$A$151,0)),"ID not found"))</f>
        <v/>
      </c>
      <c r="F195" s="24">
        <f>IF(D195="","",IFERROR(INDEX(Mentors!$F$2:$F$151,MATCH(D195,Mentors!$A$2:$A$151,0))&amp;"",""))</f>
        <v/>
      </c>
      <c r="G195" s="24">
        <f>IF(D195="","",IFERROR(INDEX(Mentors!$P$2:$P$151,MATCH(D195,Mentors!$A$2:$A$151,0))&amp;"",""))</f>
        <v/>
      </c>
      <c r="H195" s="32" t="n"/>
      <c r="I195" s="32" t="n"/>
      <c r="J195" s="32" t="n"/>
      <c r="K195" s="24">
        <f>IF(B195="","",COUNT(I195:J195))</f>
        <v/>
      </c>
      <c r="L195" s="24" t="n"/>
      <c r="M195" s="24" t="n"/>
      <c r="N195" s="24" t="n"/>
      <c r="O195" s="24" t="n"/>
    </row>
    <row r="196">
      <c r="A196" s="24" t="inlineStr">
        <is>
          <t>M-195</t>
        </is>
      </c>
      <c r="B196" s="24" t="n"/>
      <c r="C196" s="24">
        <f>IF(B196="","",IFERROR(INDEX(Mentees!$D$2:$D$301,MATCH(B196,Mentees!$A$2:$A$301,0)),"ID not found"))</f>
        <v/>
      </c>
      <c r="D196" s="24" t="n"/>
      <c r="E196" s="24">
        <f>IF(D196="","",IFERROR(INDEX(Mentors!$D$2:$D$151,MATCH(D196,Mentors!$A$2:$A$151,0)),"ID not found"))</f>
        <v/>
      </c>
      <c r="F196" s="24">
        <f>IF(D196="","",IFERROR(INDEX(Mentors!$F$2:$F$151,MATCH(D196,Mentors!$A$2:$A$151,0))&amp;"",""))</f>
        <v/>
      </c>
      <c r="G196" s="24">
        <f>IF(D196="","",IFERROR(INDEX(Mentors!$P$2:$P$151,MATCH(D196,Mentors!$A$2:$A$151,0))&amp;"",""))</f>
        <v/>
      </c>
      <c r="H196" s="32" t="n"/>
      <c r="I196" s="32" t="n"/>
      <c r="J196" s="32" t="n"/>
      <c r="K196" s="24">
        <f>IF(B196="","",COUNT(I196:J196))</f>
        <v/>
      </c>
      <c r="L196" s="24" t="n"/>
      <c r="M196" s="24" t="n"/>
      <c r="N196" s="24" t="n"/>
      <c r="O196" s="24" t="n"/>
    </row>
    <row r="197">
      <c r="A197" s="24" t="inlineStr">
        <is>
          <t>M-196</t>
        </is>
      </c>
      <c r="B197" s="24" t="n"/>
      <c r="C197" s="24">
        <f>IF(B197="","",IFERROR(INDEX(Mentees!$D$2:$D$301,MATCH(B197,Mentees!$A$2:$A$301,0)),"ID not found"))</f>
        <v/>
      </c>
      <c r="D197" s="24" t="n"/>
      <c r="E197" s="24">
        <f>IF(D197="","",IFERROR(INDEX(Mentors!$D$2:$D$151,MATCH(D197,Mentors!$A$2:$A$151,0)),"ID not found"))</f>
        <v/>
      </c>
      <c r="F197" s="24">
        <f>IF(D197="","",IFERROR(INDEX(Mentors!$F$2:$F$151,MATCH(D197,Mentors!$A$2:$A$151,0))&amp;"",""))</f>
        <v/>
      </c>
      <c r="G197" s="24">
        <f>IF(D197="","",IFERROR(INDEX(Mentors!$P$2:$P$151,MATCH(D197,Mentors!$A$2:$A$151,0))&amp;"",""))</f>
        <v/>
      </c>
      <c r="H197" s="32" t="n"/>
      <c r="I197" s="32" t="n"/>
      <c r="J197" s="32" t="n"/>
      <c r="K197" s="24">
        <f>IF(B197="","",COUNT(I197:J197))</f>
        <v/>
      </c>
      <c r="L197" s="24" t="n"/>
      <c r="M197" s="24" t="n"/>
      <c r="N197" s="24" t="n"/>
      <c r="O197" s="24" t="n"/>
    </row>
    <row r="198">
      <c r="A198" s="24" t="inlineStr">
        <is>
          <t>M-197</t>
        </is>
      </c>
      <c r="B198" s="24" t="n"/>
      <c r="C198" s="24">
        <f>IF(B198="","",IFERROR(INDEX(Mentees!$D$2:$D$301,MATCH(B198,Mentees!$A$2:$A$301,0)),"ID not found"))</f>
        <v/>
      </c>
      <c r="D198" s="24" t="n"/>
      <c r="E198" s="24">
        <f>IF(D198="","",IFERROR(INDEX(Mentors!$D$2:$D$151,MATCH(D198,Mentors!$A$2:$A$151,0)),"ID not found"))</f>
        <v/>
      </c>
      <c r="F198" s="24">
        <f>IF(D198="","",IFERROR(INDEX(Mentors!$F$2:$F$151,MATCH(D198,Mentors!$A$2:$A$151,0))&amp;"",""))</f>
        <v/>
      </c>
      <c r="G198" s="24">
        <f>IF(D198="","",IFERROR(INDEX(Mentors!$P$2:$P$151,MATCH(D198,Mentors!$A$2:$A$151,0))&amp;"",""))</f>
        <v/>
      </c>
      <c r="H198" s="32" t="n"/>
      <c r="I198" s="32" t="n"/>
      <c r="J198" s="32" t="n"/>
      <c r="K198" s="24">
        <f>IF(B198="","",COUNT(I198:J198))</f>
        <v/>
      </c>
      <c r="L198" s="24" t="n"/>
      <c r="M198" s="24" t="n"/>
      <c r="N198" s="24" t="n"/>
      <c r="O198" s="24" t="n"/>
    </row>
    <row r="199">
      <c r="A199" s="24" t="inlineStr">
        <is>
          <t>M-198</t>
        </is>
      </c>
      <c r="B199" s="24" t="n"/>
      <c r="C199" s="24">
        <f>IF(B199="","",IFERROR(INDEX(Mentees!$D$2:$D$301,MATCH(B199,Mentees!$A$2:$A$301,0)),"ID not found"))</f>
        <v/>
      </c>
      <c r="D199" s="24" t="n"/>
      <c r="E199" s="24">
        <f>IF(D199="","",IFERROR(INDEX(Mentors!$D$2:$D$151,MATCH(D199,Mentors!$A$2:$A$151,0)),"ID not found"))</f>
        <v/>
      </c>
      <c r="F199" s="24">
        <f>IF(D199="","",IFERROR(INDEX(Mentors!$F$2:$F$151,MATCH(D199,Mentors!$A$2:$A$151,0))&amp;"",""))</f>
        <v/>
      </c>
      <c r="G199" s="24">
        <f>IF(D199="","",IFERROR(INDEX(Mentors!$P$2:$P$151,MATCH(D199,Mentors!$A$2:$A$151,0))&amp;"",""))</f>
        <v/>
      </c>
      <c r="H199" s="32" t="n"/>
      <c r="I199" s="32" t="n"/>
      <c r="J199" s="32" t="n"/>
      <c r="K199" s="24">
        <f>IF(B199="","",COUNT(I199:J199))</f>
        <v/>
      </c>
      <c r="L199" s="24" t="n"/>
      <c r="M199" s="24" t="n"/>
      <c r="N199" s="24" t="n"/>
      <c r="O199" s="24" t="n"/>
    </row>
    <row r="200">
      <c r="A200" s="24" t="inlineStr">
        <is>
          <t>M-199</t>
        </is>
      </c>
      <c r="B200" s="24" t="n"/>
      <c r="C200" s="24">
        <f>IF(B200="","",IFERROR(INDEX(Mentees!$D$2:$D$301,MATCH(B200,Mentees!$A$2:$A$301,0)),"ID not found"))</f>
        <v/>
      </c>
      <c r="D200" s="24" t="n"/>
      <c r="E200" s="24">
        <f>IF(D200="","",IFERROR(INDEX(Mentors!$D$2:$D$151,MATCH(D200,Mentors!$A$2:$A$151,0)),"ID not found"))</f>
        <v/>
      </c>
      <c r="F200" s="24">
        <f>IF(D200="","",IFERROR(INDEX(Mentors!$F$2:$F$151,MATCH(D200,Mentors!$A$2:$A$151,0))&amp;"",""))</f>
        <v/>
      </c>
      <c r="G200" s="24">
        <f>IF(D200="","",IFERROR(INDEX(Mentors!$P$2:$P$151,MATCH(D200,Mentors!$A$2:$A$151,0))&amp;"",""))</f>
        <v/>
      </c>
      <c r="H200" s="32" t="n"/>
      <c r="I200" s="32" t="n"/>
      <c r="J200" s="32" t="n"/>
      <c r="K200" s="24">
        <f>IF(B200="","",COUNT(I200:J200))</f>
        <v/>
      </c>
      <c r="L200" s="24" t="n"/>
      <c r="M200" s="24" t="n"/>
      <c r="N200" s="24" t="n"/>
      <c r="O200" s="24" t="n"/>
    </row>
    <row r="201">
      <c r="A201" s="24" t="inlineStr">
        <is>
          <t>M-200</t>
        </is>
      </c>
      <c r="B201" s="24" t="n"/>
      <c r="C201" s="24">
        <f>IF(B201="","",IFERROR(INDEX(Mentees!$D$2:$D$301,MATCH(B201,Mentees!$A$2:$A$301,0)),"ID not found"))</f>
        <v/>
      </c>
      <c r="D201" s="24" t="n"/>
      <c r="E201" s="24">
        <f>IF(D201="","",IFERROR(INDEX(Mentors!$D$2:$D$151,MATCH(D201,Mentors!$A$2:$A$151,0)),"ID not found"))</f>
        <v/>
      </c>
      <c r="F201" s="24">
        <f>IF(D201="","",IFERROR(INDEX(Mentors!$F$2:$F$151,MATCH(D201,Mentors!$A$2:$A$151,0))&amp;"",""))</f>
        <v/>
      </c>
      <c r="G201" s="24">
        <f>IF(D201="","",IFERROR(INDEX(Mentors!$P$2:$P$151,MATCH(D201,Mentors!$A$2:$A$151,0))&amp;"",""))</f>
        <v/>
      </c>
      <c r="H201" s="32" t="n"/>
      <c r="I201" s="32" t="n"/>
      <c r="J201" s="32" t="n"/>
      <c r="K201" s="24">
        <f>IF(B201="","",COUNT(I201:J201))</f>
        <v/>
      </c>
      <c r="L201" s="24" t="n"/>
      <c r="M201" s="24" t="n"/>
      <c r="N201" s="24" t="n"/>
      <c r="O201" s="24" t="n"/>
    </row>
    <row r="202">
      <c r="A202" s="24" t="inlineStr">
        <is>
          <t>M-201</t>
        </is>
      </c>
      <c r="B202" s="24" t="n"/>
      <c r="C202" s="24">
        <f>IF(B202="","",IFERROR(INDEX(Mentees!$D$2:$D$301,MATCH(B202,Mentees!$A$2:$A$301,0)),"ID not found"))</f>
        <v/>
      </c>
      <c r="D202" s="24" t="n"/>
      <c r="E202" s="24">
        <f>IF(D202="","",IFERROR(INDEX(Mentors!$D$2:$D$151,MATCH(D202,Mentors!$A$2:$A$151,0)),"ID not found"))</f>
        <v/>
      </c>
      <c r="F202" s="24">
        <f>IF(D202="","",IFERROR(INDEX(Mentors!$F$2:$F$151,MATCH(D202,Mentors!$A$2:$A$151,0))&amp;"",""))</f>
        <v/>
      </c>
      <c r="G202" s="24">
        <f>IF(D202="","",IFERROR(INDEX(Mentors!$P$2:$P$151,MATCH(D202,Mentors!$A$2:$A$151,0))&amp;"",""))</f>
        <v/>
      </c>
      <c r="H202" s="32" t="n"/>
      <c r="I202" s="32" t="n"/>
      <c r="J202" s="32" t="n"/>
      <c r="K202" s="24">
        <f>IF(B202="","",COUNT(I202:J202))</f>
        <v/>
      </c>
      <c r="L202" s="24" t="n"/>
      <c r="M202" s="24" t="n"/>
      <c r="N202" s="24" t="n"/>
      <c r="O202" s="24" t="n"/>
    </row>
    <row r="203">
      <c r="A203" s="24" t="inlineStr">
        <is>
          <t>M-202</t>
        </is>
      </c>
      <c r="B203" s="24" t="n"/>
      <c r="C203" s="24">
        <f>IF(B203="","",IFERROR(INDEX(Mentees!$D$2:$D$301,MATCH(B203,Mentees!$A$2:$A$301,0)),"ID not found"))</f>
        <v/>
      </c>
      <c r="D203" s="24" t="n"/>
      <c r="E203" s="24">
        <f>IF(D203="","",IFERROR(INDEX(Mentors!$D$2:$D$151,MATCH(D203,Mentors!$A$2:$A$151,0)),"ID not found"))</f>
        <v/>
      </c>
      <c r="F203" s="24">
        <f>IF(D203="","",IFERROR(INDEX(Mentors!$F$2:$F$151,MATCH(D203,Mentors!$A$2:$A$151,0))&amp;"",""))</f>
        <v/>
      </c>
      <c r="G203" s="24">
        <f>IF(D203="","",IFERROR(INDEX(Mentors!$P$2:$P$151,MATCH(D203,Mentors!$A$2:$A$151,0))&amp;"",""))</f>
        <v/>
      </c>
      <c r="H203" s="32" t="n"/>
      <c r="I203" s="32" t="n"/>
      <c r="J203" s="32" t="n"/>
      <c r="K203" s="24">
        <f>IF(B203="","",COUNT(I203:J203))</f>
        <v/>
      </c>
      <c r="L203" s="24" t="n"/>
      <c r="M203" s="24" t="n"/>
      <c r="N203" s="24" t="n"/>
      <c r="O203" s="24" t="n"/>
    </row>
    <row r="204">
      <c r="A204" s="24" t="inlineStr">
        <is>
          <t>M-203</t>
        </is>
      </c>
      <c r="B204" s="24" t="n"/>
      <c r="C204" s="24">
        <f>IF(B204="","",IFERROR(INDEX(Mentees!$D$2:$D$301,MATCH(B204,Mentees!$A$2:$A$301,0)),"ID not found"))</f>
        <v/>
      </c>
      <c r="D204" s="24" t="n"/>
      <c r="E204" s="24">
        <f>IF(D204="","",IFERROR(INDEX(Mentors!$D$2:$D$151,MATCH(D204,Mentors!$A$2:$A$151,0)),"ID not found"))</f>
        <v/>
      </c>
      <c r="F204" s="24">
        <f>IF(D204="","",IFERROR(INDEX(Mentors!$F$2:$F$151,MATCH(D204,Mentors!$A$2:$A$151,0))&amp;"",""))</f>
        <v/>
      </c>
      <c r="G204" s="24">
        <f>IF(D204="","",IFERROR(INDEX(Mentors!$P$2:$P$151,MATCH(D204,Mentors!$A$2:$A$151,0))&amp;"",""))</f>
        <v/>
      </c>
      <c r="H204" s="32" t="n"/>
      <c r="I204" s="32" t="n"/>
      <c r="J204" s="32" t="n"/>
      <c r="K204" s="24">
        <f>IF(B204="","",COUNT(I204:J204))</f>
        <v/>
      </c>
      <c r="L204" s="24" t="n"/>
      <c r="M204" s="24" t="n"/>
      <c r="N204" s="24" t="n"/>
      <c r="O204" s="24" t="n"/>
    </row>
    <row r="205">
      <c r="A205" s="24" t="inlineStr">
        <is>
          <t>M-204</t>
        </is>
      </c>
      <c r="B205" s="24" t="n"/>
      <c r="C205" s="24">
        <f>IF(B205="","",IFERROR(INDEX(Mentees!$D$2:$D$301,MATCH(B205,Mentees!$A$2:$A$301,0)),"ID not found"))</f>
        <v/>
      </c>
      <c r="D205" s="24" t="n"/>
      <c r="E205" s="24">
        <f>IF(D205="","",IFERROR(INDEX(Mentors!$D$2:$D$151,MATCH(D205,Mentors!$A$2:$A$151,0)),"ID not found"))</f>
        <v/>
      </c>
      <c r="F205" s="24">
        <f>IF(D205="","",IFERROR(INDEX(Mentors!$F$2:$F$151,MATCH(D205,Mentors!$A$2:$A$151,0))&amp;"",""))</f>
        <v/>
      </c>
      <c r="G205" s="24">
        <f>IF(D205="","",IFERROR(INDEX(Mentors!$P$2:$P$151,MATCH(D205,Mentors!$A$2:$A$151,0))&amp;"",""))</f>
        <v/>
      </c>
      <c r="H205" s="32" t="n"/>
      <c r="I205" s="32" t="n"/>
      <c r="J205" s="32" t="n"/>
      <c r="K205" s="24">
        <f>IF(B205="","",COUNT(I205:J205))</f>
        <v/>
      </c>
      <c r="L205" s="24" t="n"/>
      <c r="M205" s="24" t="n"/>
      <c r="N205" s="24" t="n"/>
      <c r="O205" s="24" t="n"/>
    </row>
    <row r="206">
      <c r="A206" s="24" t="inlineStr">
        <is>
          <t>M-205</t>
        </is>
      </c>
      <c r="B206" s="24" t="n"/>
      <c r="C206" s="24">
        <f>IF(B206="","",IFERROR(INDEX(Mentees!$D$2:$D$301,MATCH(B206,Mentees!$A$2:$A$301,0)),"ID not found"))</f>
        <v/>
      </c>
      <c r="D206" s="24" t="n"/>
      <c r="E206" s="24">
        <f>IF(D206="","",IFERROR(INDEX(Mentors!$D$2:$D$151,MATCH(D206,Mentors!$A$2:$A$151,0)),"ID not found"))</f>
        <v/>
      </c>
      <c r="F206" s="24">
        <f>IF(D206="","",IFERROR(INDEX(Mentors!$F$2:$F$151,MATCH(D206,Mentors!$A$2:$A$151,0))&amp;"",""))</f>
        <v/>
      </c>
      <c r="G206" s="24">
        <f>IF(D206="","",IFERROR(INDEX(Mentors!$P$2:$P$151,MATCH(D206,Mentors!$A$2:$A$151,0))&amp;"",""))</f>
        <v/>
      </c>
      <c r="H206" s="32" t="n"/>
      <c r="I206" s="32" t="n"/>
      <c r="J206" s="32" t="n"/>
      <c r="K206" s="24">
        <f>IF(B206="","",COUNT(I206:J206))</f>
        <v/>
      </c>
      <c r="L206" s="24" t="n"/>
      <c r="M206" s="24" t="n"/>
      <c r="N206" s="24" t="n"/>
      <c r="O206" s="24" t="n"/>
    </row>
    <row r="207">
      <c r="A207" s="24" t="inlineStr">
        <is>
          <t>M-206</t>
        </is>
      </c>
      <c r="B207" s="24" t="n"/>
      <c r="C207" s="24">
        <f>IF(B207="","",IFERROR(INDEX(Mentees!$D$2:$D$301,MATCH(B207,Mentees!$A$2:$A$301,0)),"ID not found"))</f>
        <v/>
      </c>
      <c r="D207" s="24" t="n"/>
      <c r="E207" s="24">
        <f>IF(D207="","",IFERROR(INDEX(Mentors!$D$2:$D$151,MATCH(D207,Mentors!$A$2:$A$151,0)),"ID not found"))</f>
        <v/>
      </c>
      <c r="F207" s="24">
        <f>IF(D207="","",IFERROR(INDEX(Mentors!$F$2:$F$151,MATCH(D207,Mentors!$A$2:$A$151,0))&amp;"",""))</f>
        <v/>
      </c>
      <c r="G207" s="24">
        <f>IF(D207="","",IFERROR(INDEX(Mentors!$P$2:$P$151,MATCH(D207,Mentors!$A$2:$A$151,0))&amp;"",""))</f>
        <v/>
      </c>
      <c r="H207" s="32" t="n"/>
      <c r="I207" s="32" t="n"/>
      <c r="J207" s="32" t="n"/>
      <c r="K207" s="24">
        <f>IF(B207="","",COUNT(I207:J207))</f>
        <v/>
      </c>
      <c r="L207" s="24" t="n"/>
      <c r="M207" s="24" t="n"/>
      <c r="N207" s="24" t="n"/>
      <c r="O207" s="24" t="n"/>
    </row>
    <row r="208">
      <c r="A208" s="24" t="inlineStr">
        <is>
          <t>M-207</t>
        </is>
      </c>
      <c r="B208" s="24" t="n"/>
      <c r="C208" s="24">
        <f>IF(B208="","",IFERROR(INDEX(Mentees!$D$2:$D$301,MATCH(B208,Mentees!$A$2:$A$301,0)),"ID not found"))</f>
        <v/>
      </c>
      <c r="D208" s="24" t="n"/>
      <c r="E208" s="24">
        <f>IF(D208="","",IFERROR(INDEX(Mentors!$D$2:$D$151,MATCH(D208,Mentors!$A$2:$A$151,0)),"ID not found"))</f>
        <v/>
      </c>
      <c r="F208" s="24">
        <f>IF(D208="","",IFERROR(INDEX(Mentors!$F$2:$F$151,MATCH(D208,Mentors!$A$2:$A$151,0))&amp;"",""))</f>
        <v/>
      </c>
      <c r="G208" s="24">
        <f>IF(D208="","",IFERROR(INDEX(Mentors!$P$2:$P$151,MATCH(D208,Mentors!$A$2:$A$151,0))&amp;"",""))</f>
        <v/>
      </c>
      <c r="H208" s="32" t="n"/>
      <c r="I208" s="32" t="n"/>
      <c r="J208" s="32" t="n"/>
      <c r="K208" s="24">
        <f>IF(B208="","",COUNT(I208:J208))</f>
        <v/>
      </c>
      <c r="L208" s="24" t="n"/>
      <c r="M208" s="24" t="n"/>
      <c r="N208" s="24" t="n"/>
      <c r="O208" s="24" t="n"/>
    </row>
    <row r="209">
      <c r="A209" s="24" t="inlineStr">
        <is>
          <t>M-208</t>
        </is>
      </c>
      <c r="B209" s="24" t="n"/>
      <c r="C209" s="24">
        <f>IF(B209="","",IFERROR(INDEX(Mentees!$D$2:$D$301,MATCH(B209,Mentees!$A$2:$A$301,0)),"ID not found"))</f>
        <v/>
      </c>
      <c r="D209" s="24" t="n"/>
      <c r="E209" s="24">
        <f>IF(D209="","",IFERROR(INDEX(Mentors!$D$2:$D$151,MATCH(D209,Mentors!$A$2:$A$151,0)),"ID not found"))</f>
        <v/>
      </c>
      <c r="F209" s="24">
        <f>IF(D209="","",IFERROR(INDEX(Mentors!$F$2:$F$151,MATCH(D209,Mentors!$A$2:$A$151,0))&amp;"",""))</f>
        <v/>
      </c>
      <c r="G209" s="24">
        <f>IF(D209="","",IFERROR(INDEX(Mentors!$P$2:$P$151,MATCH(D209,Mentors!$A$2:$A$151,0))&amp;"",""))</f>
        <v/>
      </c>
      <c r="H209" s="32" t="n"/>
      <c r="I209" s="32" t="n"/>
      <c r="J209" s="32" t="n"/>
      <c r="K209" s="24">
        <f>IF(B209="","",COUNT(I209:J209))</f>
        <v/>
      </c>
      <c r="L209" s="24" t="n"/>
      <c r="M209" s="24" t="n"/>
      <c r="N209" s="24" t="n"/>
      <c r="O209" s="24" t="n"/>
    </row>
    <row r="210">
      <c r="A210" s="24" t="inlineStr">
        <is>
          <t>M-209</t>
        </is>
      </c>
      <c r="B210" s="24" t="n"/>
      <c r="C210" s="24">
        <f>IF(B210="","",IFERROR(INDEX(Mentees!$D$2:$D$301,MATCH(B210,Mentees!$A$2:$A$301,0)),"ID not found"))</f>
        <v/>
      </c>
      <c r="D210" s="24" t="n"/>
      <c r="E210" s="24">
        <f>IF(D210="","",IFERROR(INDEX(Mentors!$D$2:$D$151,MATCH(D210,Mentors!$A$2:$A$151,0)),"ID not found"))</f>
        <v/>
      </c>
      <c r="F210" s="24">
        <f>IF(D210="","",IFERROR(INDEX(Mentors!$F$2:$F$151,MATCH(D210,Mentors!$A$2:$A$151,0))&amp;"",""))</f>
        <v/>
      </c>
      <c r="G210" s="24">
        <f>IF(D210="","",IFERROR(INDEX(Mentors!$P$2:$P$151,MATCH(D210,Mentors!$A$2:$A$151,0))&amp;"",""))</f>
        <v/>
      </c>
      <c r="H210" s="32" t="n"/>
      <c r="I210" s="32" t="n"/>
      <c r="J210" s="32" t="n"/>
      <c r="K210" s="24">
        <f>IF(B210="","",COUNT(I210:J210))</f>
        <v/>
      </c>
      <c r="L210" s="24" t="n"/>
      <c r="M210" s="24" t="n"/>
      <c r="N210" s="24" t="n"/>
      <c r="O210" s="24" t="n"/>
    </row>
    <row r="211">
      <c r="A211" s="24" t="inlineStr">
        <is>
          <t>M-210</t>
        </is>
      </c>
      <c r="B211" s="24" t="n"/>
      <c r="C211" s="24">
        <f>IF(B211="","",IFERROR(INDEX(Mentees!$D$2:$D$301,MATCH(B211,Mentees!$A$2:$A$301,0)),"ID not found"))</f>
        <v/>
      </c>
      <c r="D211" s="24" t="n"/>
      <c r="E211" s="24">
        <f>IF(D211="","",IFERROR(INDEX(Mentors!$D$2:$D$151,MATCH(D211,Mentors!$A$2:$A$151,0)),"ID not found"))</f>
        <v/>
      </c>
      <c r="F211" s="24">
        <f>IF(D211="","",IFERROR(INDEX(Mentors!$F$2:$F$151,MATCH(D211,Mentors!$A$2:$A$151,0))&amp;"",""))</f>
        <v/>
      </c>
      <c r="G211" s="24">
        <f>IF(D211="","",IFERROR(INDEX(Mentors!$P$2:$P$151,MATCH(D211,Mentors!$A$2:$A$151,0))&amp;"",""))</f>
        <v/>
      </c>
      <c r="H211" s="32" t="n"/>
      <c r="I211" s="32" t="n"/>
      <c r="J211" s="32" t="n"/>
      <c r="K211" s="24">
        <f>IF(B211="","",COUNT(I211:J211))</f>
        <v/>
      </c>
      <c r="L211" s="24" t="n"/>
      <c r="M211" s="24" t="n"/>
      <c r="N211" s="24" t="n"/>
      <c r="O211" s="24" t="n"/>
    </row>
    <row r="212">
      <c r="A212" s="24" t="inlineStr">
        <is>
          <t>M-211</t>
        </is>
      </c>
      <c r="B212" s="24" t="n"/>
      <c r="C212" s="24">
        <f>IF(B212="","",IFERROR(INDEX(Mentees!$D$2:$D$301,MATCH(B212,Mentees!$A$2:$A$301,0)),"ID not found"))</f>
        <v/>
      </c>
      <c r="D212" s="24" t="n"/>
      <c r="E212" s="24">
        <f>IF(D212="","",IFERROR(INDEX(Mentors!$D$2:$D$151,MATCH(D212,Mentors!$A$2:$A$151,0)),"ID not found"))</f>
        <v/>
      </c>
      <c r="F212" s="24">
        <f>IF(D212="","",IFERROR(INDEX(Mentors!$F$2:$F$151,MATCH(D212,Mentors!$A$2:$A$151,0))&amp;"",""))</f>
        <v/>
      </c>
      <c r="G212" s="24">
        <f>IF(D212="","",IFERROR(INDEX(Mentors!$P$2:$P$151,MATCH(D212,Mentors!$A$2:$A$151,0))&amp;"",""))</f>
        <v/>
      </c>
      <c r="H212" s="32" t="n"/>
      <c r="I212" s="32" t="n"/>
      <c r="J212" s="32" t="n"/>
      <c r="K212" s="24">
        <f>IF(B212="","",COUNT(I212:J212))</f>
        <v/>
      </c>
      <c r="L212" s="24" t="n"/>
      <c r="M212" s="24" t="n"/>
      <c r="N212" s="24" t="n"/>
      <c r="O212" s="24" t="n"/>
    </row>
    <row r="213">
      <c r="A213" s="24" t="inlineStr">
        <is>
          <t>M-212</t>
        </is>
      </c>
      <c r="B213" s="24" t="n"/>
      <c r="C213" s="24">
        <f>IF(B213="","",IFERROR(INDEX(Mentees!$D$2:$D$301,MATCH(B213,Mentees!$A$2:$A$301,0)),"ID not found"))</f>
        <v/>
      </c>
      <c r="D213" s="24" t="n"/>
      <c r="E213" s="24">
        <f>IF(D213="","",IFERROR(INDEX(Mentors!$D$2:$D$151,MATCH(D213,Mentors!$A$2:$A$151,0)),"ID not found"))</f>
        <v/>
      </c>
      <c r="F213" s="24">
        <f>IF(D213="","",IFERROR(INDEX(Mentors!$F$2:$F$151,MATCH(D213,Mentors!$A$2:$A$151,0))&amp;"",""))</f>
        <v/>
      </c>
      <c r="G213" s="24">
        <f>IF(D213="","",IFERROR(INDEX(Mentors!$P$2:$P$151,MATCH(D213,Mentors!$A$2:$A$151,0))&amp;"",""))</f>
        <v/>
      </c>
      <c r="H213" s="32" t="n"/>
      <c r="I213" s="32" t="n"/>
      <c r="J213" s="32" t="n"/>
      <c r="K213" s="24">
        <f>IF(B213="","",COUNT(I213:J213))</f>
        <v/>
      </c>
      <c r="L213" s="24" t="n"/>
      <c r="M213" s="24" t="n"/>
      <c r="N213" s="24" t="n"/>
      <c r="O213" s="24" t="n"/>
    </row>
    <row r="214">
      <c r="A214" s="24" t="inlineStr">
        <is>
          <t>M-213</t>
        </is>
      </c>
      <c r="B214" s="24" t="n"/>
      <c r="C214" s="24">
        <f>IF(B214="","",IFERROR(INDEX(Mentees!$D$2:$D$301,MATCH(B214,Mentees!$A$2:$A$301,0)),"ID not found"))</f>
        <v/>
      </c>
      <c r="D214" s="24" t="n"/>
      <c r="E214" s="24">
        <f>IF(D214="","",IFERROR(INDEX(Mentors!$D$2:$D$151,MATCH(D214,Mentors!$A$2:$A$151,0)),"ID not found"))</f>
        <v/>
      </c>
      <c r="F214" s="24">
        <f>IF(D214="","",IFERROR(INDEX(Mentors!$F$2:$F$151,MATCH(D214,Mentors!$A$2:$A$151,0))&amp;"",""))</f>
        <v/>
      </c>
      <c r="G214" s="24">
        <f>IF(D214="","",IFERROR(INDEX(Mentors!$P$2:$P$151,MATCH(D214,Mentors!$A$2:$A$151,0))&amp;"",""))</f>
        <v/>
      </c>
      <c r="H214" s="32" t="n"/>
      <c r="I214" s="32" t="n"/>
      <c r="J214" s="32" t="n"/>
      <c r="K214" s="24">
        <f>IF(B214="","",COUNT(I214:J214))</f>
        <v/>
      </c>
      <c r="L214" s="24" t="n"/>
      <c r="M214" s="24" t="n"/>
      <c r="N214" s="24" t="n"/>
      <c r="O214" s="24" t="n"/>
    </row>
    <row r="215">
      <c r="A215" s="24" t="inlineStr">
        <is>
          <t>M-214</t>
        </is>
      </c>
      <c r="B215" s="24" t="n"/>
      <c r="C215" s="24">
        <f>IF(B215="","",IFERROR(INDEX(Mentees!$D$2:$D$301,MATCH(B215,Mentees!$A$2:$A$301,0)),"ID not found"))</f>
        <v/>
      </c>
      <c r="D215" s="24" t="n"/>
      <c r="E215" s="24">
        <f>IF(D215="","",IFERROR(INDEX(Mentors!$D$2:$D$151,MATCH(D215,Mentors!$A$2:$A$151,0)),"ID not found"))</f>
        <v/>
      </c>
      <c r="F215" s="24">
        <f>IF(D215="","",IFERROR(INDEX(Mentors!$F$2:$F$151,MATCH(D215,Mentors!$A$2:$A$151,0))&amp;"",""))</f>
        <v/>
      </c>
      <c r="G215" s="24">
        <f>IF(D215="","",IFERROR(INDEX(Mentors!$P$2:$P$151,MATCH(D215,Mentors!$A$2:$A$151,0))&amp;"",""))</f>
        <v/>
      </c>
      <c r="H215" s="32" t="n"/>
      <c r="I215" s="32" t="n"/>
      <c r="J215" s="32" t="n"/>
      <c r="K215" s="24">
        <f>IF(B215="","",COUNT(I215:J215))</f>
        <v/>
      </c>
      <c r="L215" s="24" t="n"/>
      <c r="M215" s="24" t="n"/>
      <c r="N215" s="24" t="n"/>
      <c r="O215" s="24" t="n"/>
    </row>
    <row r="216">
      <c r="A216" s="24" t="inlineStr">
        <is>
          <t>M-215</t>
        </is>
      </c>
      <c r="B216" s="24" t="n"/>
      <c r="C216" s="24">
        <f>IF(B216="","",IFERROR(INDEX(Mentees!$D$2:$D$301,MATCH(B216,Mentees!$A$2:$A$301,0)),"ID not found"))</f>
        <v/>
      </c>
      <c r="D216" s="24" t="n"/>
      <c r="E216" s="24">
        <f>IF(D216="","",IFERROR(INDEX(Mentors!$D$2:$D$151,MATCH(D216,Mentors!$A$2:$A$151,0)),"ID not found"))</f>
        <v/>
      </c>
      <c r="F216" s="24">
        <f>IF(D216="","",IFERROR(INDEX(Mentors!$F$2:$F$151,MATCH(D216,Mentors!$A$2:$A$151,0))&amp;"",""))</f>
        <v/>
      </c>
      <c r="G216" s="24">
        <f>IF(D216="","",IFERROR(INDEX(Mentors!$P$2:$P$151,MATCH(D216,Mentors!$A$2:$A$151,0))&amp;"",""))</f>
        <v/>
      </c>
      <c r="H216" s="32" t="n"/>
      <c r="I216" s="32" t="n"/>
      <c r="J216" s="32" t="n"/>
      <c r="K216" s="24">
        <f>IF(B216="","",COUNT(I216:J216))</f>
        <v/>
      </c>
      <c r="L216" s="24" t="n"/>
      <c r="M216" s="24" t="n"/>
      <c r="N216" s="24" t="n"/>
      <c r="O216" s="24" t="n"/>
    </row>
    <row r="217">
      <c r="A217" s="24" t="inlineStr">
        <is>
          <t>M-216</t>
        </is>
      </c>
      <c r="B217" s="24" t="n"/>
      <c r="C217" s="24">
        <f>IF(B217="","",IFERROR(INDEX(Mentees!$D$2:$D$301,MATCH(B217,Mentees!$A$2:$A$301,0)),"ID not found"))</f>
        <v/>
      </c>
      <c r="D217" s="24" t="n"/>
      <c r="E217" s="24">
        <f>IF(D217="","",IFERROR(INDEX(Mentors!$D$2:$D$151,MATCH(D217,Mentors!$A$2:$A$151,0)),"ID not found"))</f>
        <v/>
      </c>
      <c r="F217" s="24">
        <f>IF(D217="","",IFERROR(INDEX(Mentors!$F$2:$F$151,MATCH(D217,Mentors!$A$2:$A$151,0))&amp;"",""))</f>
        <v/>
      </c>
      <c r="G217" s="24">
        <f>IF(D217="","",IFERROR(INDEX(Mentors!$P$2:$P$151,MATCH(D217,Mentors!$A$2:$A$151,0))&amp;"",""))</f>
        <v/>
      </c>
      <c r="H217" s="32" t="n"/>
      <c r="I217" s="32" t="n"/>
      <c r="J217" s="32" t="n"/>
      <c r="K217" s="24">
        <f>IF(B217="","",COUNT(I217:J217))</f>
        <v/>
      </c>
      <c r="L217" s="24" t="n"/>
      <c r="M217" s="24" t="n"/>
      <c r="N217" s="24" t="n"/>
      <c r="O217" s="24" t="n"/>
    </row>
    <row r="218">
      <c r="A218" s="24" t="inlineStr">
        <is>
          <t>M-217</t>
        </is>
      </c>
      <c r="B218" s="24" t="n"/>
      <c r="C218" s="24">
        <f>IF(B218="","",IFERROR(INDEX(Mentees!$D$2:$D$301,MATCH(B218,Mentees!$A$2:$A$301,0)),"ID not found"))</f>
        <v/>
      </c>
      <c r="D218" s="24" t="n"/>
      <c r="E218" s="24">
        <f>IF(D218="","",IFERROR(INDEX(Mentors!$D$2:$D$151,MATCH(D218,Mentors!$A$2:$A$151,0)),"ID not found"))</f>
        <v/>
      </c>
      <c r="F218" s="24">
        <f>IF(D218="","",IFERROR(INDEX(Mentors!$F$2:$F$151,MATCH(D218,Mentors!$A$2:$A$151,0))&amp;"",""))</f>
        <v/>
      </c>
      <c r="G218" s="24">
        <f>IF(D218="","",IFERROR(INDEX(Mentors!$P$2:$P$151,MATCH(D218,Mentors!$A$2:$A$151,0))&amp;"",""))</f>
        <v/>
      </c>
      <c r="H218" s="32" t="n"/>
      <c r="I218" s="32" t="n"/>
      <c r="J218" s="32" t="n"/>
      <c r="K218" s="24">
        <f>IF(B218="","",COUNT(I218:J218))</f>
        <v/>
      </c>
      <c r="L218" s="24" t="n"/>
      <c r="M218" s="24" t="n"/>
      <c r="N218" s="24" t="n"/>
      <c r="O218" s="24" t="n"/>
    </row>
    <row r="219">
      <c r="A219" s="24" t="inlineStr">
        <is>
          <t>M-218</t>
        </is>
      </c>
      <c r="B219" s="24" t="n"/>
      <c r="C219" s="24">
        <f>IF(B219="","",IFERROR(INDEX(Mentees!$D$2:$D$301,MATCH(B219,Mentees!$A$2:$A$301,0)),"ID not found"))</f>
        <v/>
      </c>
      <c r="D219" s="24" t="n"/>
      <c r="E219" s="24">
        <f>IF(D219="","",IFERROR(INDEX(Mentors!$D$2:$D$151,MATCH(D219,Mentors!$A$2:$A$151,0)),"ID not found"))</f>
        <v/>
      </c>
      <c r="F219" s="24">
        <f>IF(D219="","",IFERROR(INDEX(Mentors!$F$2:$F$151,MATCH(D219,Mentors!$A$2:$A$151,0))&amp;"",""))</f>
        <v/>
      </c>
      <c r="G219" s="24">
        <f>IF(D219="","",IFERROR(INDEX(Mentors!$P$2:$P$151,MATCH(D219,Mentors!$A$2:$A$151,0))&amp;"",""))</f>
        <v/>
      </c>
      <c r="H219" s="32" t="n"/>
      <c r="I219" s="32" t="n"/>
      <c r="J219" s="32" t="n"/>
      <c r="K219" s="24">
        <f>IF(B219="","",COUNT(I219:J219))</f>
        <v/>
      </c>
      <c r="L219" s="24" t="n"/>
      <c r="M219" s="24" t="n"/>
      <c r="N219" s="24" t="n"/>
      <c r="O219" s="24" t="n"/>
    </row>
    <row r="220">
      <c r="A220" s="24" t="inlineStr">
        <is>
          <t>M-219</t>
        </is>
      </c>
      <c r="B220" s="24" t="n"/>
      <c r="C220" s="24">
        <f>IF(B220="","",IFERROR(INDEX(Mentees!$D$2:$D$301,MATCH(B220,Mentees!$A$2:$A$301,0)),"ID not found"))</f>
        <v/>
      </c>
      <c r="D220" s="24" t="n"/>
      <c r="E220" s="24">
        <f>IF(D220="","",IFERROR(INDEX(Mentors!$D$2:$D$151,MATCH(D220,Mentors!$A$2:$A$151,0)),"ID not found"))</f>
        <v/>
      </c>
      <c r="F220" s="24">
        <f>IF(D220="","",IFERROR(INDEX(Mentors!$F$2:$F$151,MATCH(D220,Mentors!$A$2:$A$151,0))&amp;"",""))</f>
        <v/>
      </c>
      <c r="G220" s="24">
        <f>IF(D220="","",IFERROR(INDEX(Mentors!$P$2:$P$151,MATCH(D220,Mentors!$A$2:$A$151,0))&amp;"",""))</f>
        <v/>
      </c>
      <c r="H220" s="32" t="n"/>
      <c r="I220" s="32" t="n"/>
      <c r="J220" s="32" t="n"/>
      <c r="K220" s="24">
        <f>IF(B220="","",COUNT(I220:J220))</f>
        <v/>
      </c>
      <c r="L220" s="24" t="n"/>
      <c r="M220" s="24" t="n"/>
      <c r="N220" s="24" t="n"/>
      <c r="O220" s="24" t="n"/>
    </row>
    <row r="221">
      <c r="A221" s="24" t="inlineStr">
        <is>
          <t>M-220</t>
        </is>
      </c>
      <c r="B221" s="24" t="n"/>
      <c r="C221" s="24">
        <f>IF(B221="","",IFERROR(INDEX(Mentees!$D$2:$D$301,MATCH(B221,Mentees!$A$2:$A$301,0)),"ID not found"))</f>
        <v/>
      </c>
      <c r="D221" s="24" t="n"/>
      <c r="E221" s="24">
        <f>IF(D221="","",IFERROR(INDEX(Mentors!$D$2:$D$151,MATCH(D221,Mentors!$A$2:$A$151,0)),"ID not found"))</f>
        <v/>
      </c>
      <c r="F221" s="24">
        <f>IF(D221="","",IFERROR(INDEX(Mentors!$F$2:$F$151,MATCH(D221,Mentors!$A$2:$A$151,0))&amp;"",""))</f>
        <v/>
      </c>
      <c r="G221" s="24">
        <f>IF(D221="","",IFERROR(INDEX(Mentors!$P$2:$P$151,MATCH(D221,Mentors!$A$2:$A$151,0))&amp;"",""))</f>
        <v/>
      </c>
      <c r="H221" s="32" t="n"/>
      <c r="I221" s="32" t="n"/>
      <c r="J221" s="32" t="n"/>
      <c r="K221" s="24">
        <f>IF(B221="","",COUNT(I221:J221))</f>
        <v/>
      </c>
      <c r="L221" s="24" t="n"/>
      <c r="M221" s="24" t="n"/>
      <c r="N221" s="24" t="n"/>
      <c r="O221" s="24" t="n"/>
    </row>
    <row r="222">
      <c r="A222" s="24" t="inlineStr">
        <is>
          <t>M-221</t>
        </is>
      </c>
      <c r="B222" s="24" t="n"/>
      <c r="C222" s="24">
        <f>IF(B222="","",IFERROR(INDEX(Mentees!$D$2:$D$301,MATCH(B222,Mentees!$A$2:$A$301,0)),"ID not found"))</f>
        <v/>
      </c>
      <c r="D222" s="24" t="n"/>
      <c r="E222" s="24">
        <f>IF(D222="","",IFERROR(INDEX(Mentors!$D$2:$D$151,MATCH(D222,Mentors!$A$2:$A$151,0)),"ID not found"))</f>
        <v/>
      </c>
      <c r="F222" s="24">
        <f>IF(D222="","",IFERROR(INDEX(Mentors!$F$2:$F$151,MATCH(D222,Mentors!$A$2:$A$151,0))&amp;"",""))</f>
        <v/>
      </c>
      <c r="G222" s="24">
        <f>IF(D222="","",IFERROR(INDEX(Mentors!$P$2:$P$151,MATCH(D222,Mentors!$A$2:$A$151,0))&amp;"",""))</f>
        <v/>
      </c>
      <c r="H222" s="32" t="n"/>
      <c r="I222" s="32" t="n"/>
      <c r="J222" s="32" t="n"/>
      <c r="K222" s="24">
        <f>IF(B222="","",COUNT(I222:J222))</f>
        <v/>
      </c>
      <c r="L222" s="24" t="n"/>
      <c r="M222" s="24" t="n"/>
      <c r="N222" s="24" t="n"/>
      <c r="O222" s="24" t="n"/>
    </row>
    <row r="223">
      <c r="A223" s="24" t="inlineStr">
        <is>
          <t>M-222</t>
        </is>
      </c>
      <c r="B223" s="24" t="n"/>
      <c r="C223" s="24">
        <f>IF(B223="","",IFERROR(INDEX(Mentees!$D$2:$D$301,MATCH(B223,Mentees!$A$2:$A$301,0)),"ID not found"))</f>
        <v/>
      </c>
      <c r="D223" s="24" t="n"/>
      <c r="E223" s="24">
        <f>IF(D223="","",IFERROR(INDEX(Mentors!$D$2:$D$151,MATCH(D223,Mentors!$A$2:$A$151,0)),"ID not found"))</f>
        <v/>
      </c>
      <c r="F223" s="24">
        <f>IF(D223="","",IFERROR(INDEX(Mentors!$F$2:$F$151,MATCH(D223,Mentors!$A$2:$A$151,0))&amp;"",""))</f>
        <v/>
      </c>
      <c r="G223" s="24">
        <f>IF(D223="","",IFERROR(INDEX(Mentors!$P$2:$P$151,MATCH(D223,Mentors!$A$2:$A$151,0))&amp;"",""))</f>
        <v/>
      </c>
      <c r="H223" s="32" t="n"/>
      <c r="I223" s="32" t="n"/>
      <c r="J223" s="32" t="n"/>
      <c r="K223" s="24">
        <f>IF(B223="","",COUNT(I223:J223))</f>
        <v/>
      </c>
      <c r="L223" s="24" t="n"/>
      <c r="M223" s="24" t="n"/>
      <c r="N223" s="24" t="n"/>
      <c r="O223" s="24" t="n"/>
    </row>
    <row r="224">
      <c r="A224" s="24" t="inlineStr">
        <is>
          <t>M-223</t>
        </is>
      </c>
      <c r="B224" s="24" t="n"/>
      <c r="C224" s="24">
        <f>IF(B224="","",IFERROR(INDEX(Mentees!$D$2:$D$301,MATCH(B224,Mentees!$A$2:$A$301,0)),"ID not found"))</f>
        <v/>
      </c>
      <c r="D224" s="24" t="n"/>
      <c r="E224" s="24">
        <f>IF(D224="","",IFERROR(INDEX(Mentors!$D$2:$D$151,MATCH(D224,Mentors!$A$2:$A$151,0)),"ID not found"))</f>
        <v/>
      </c>
      <c r="F224" s="24">
        <f>IF(D224="","",IFERROR(INDEX(Mentors!$F$2:$F$151,MATCH(D224,Mentors!$A$2:$A$151,0))&amp;"",""))</f>
        <v/>
      </c>
      <c r="G224" s="24">
        <f>IF(D224="","",IFERROR(INDEX(Mentors!$P$2:$P$151,MATCH(D224,Mentors!$A$2:$A$151,0))&amp;"",""))</f>
        <v/>
      </c>
      <c r="H224" s="32" t="n"/>
      <c r="I224" s="32" t="n"/>
      <c r="J224" s="32" t="n"/>
      <c r="K224" s="24">
        <f>IF(B224="","",COUNT(I224:J224))</f>
        <v/>
      </c>
      <c r="L224" s="24" t="n"/>
      <c r="M224" s="24" t="n"/>
      <c r="N224" s="24" t="n"/>
      <c r="O224" s="24" t="n"/>
    </row>
    <row r="225">
      <c r="A225" s="24" t="inlineStr">
        <is>
          <t>M-224</t>
        </is>
      </c>
      <c r="B225" s="24" t="n"/>
      <c r="C225" s="24">
        <f>IF(B225="","",IFERROR(INDEX(Mentees!$D$2:$D$301,MATCH(B225,Mentees!$A$2:$A$301,0)),"ID not found"))</f>
        <v/>
      </c>
      <c r="D225" s="24" t="n"/>
      <c r="E225" s="24">
        <f>IF(D225="","",IFERROR(INDEX(Mentors!$D$2:$D$151,MATCH(D225,Mentors!$A$2:$A$151,0)),"ID not found"))</f>
        <v/>
      </c>
      <c r="F225" s="24">
        <f>IF(D225="","",IFERROR(INDEX(Mentors!$F$2:$F$151,MATCH(D225,Mentors!$A$2:$A$151,0))&amp;"",""))</f>
        <v/>
      </c>
      <c r="G225" s="24">
        <f>IF(D225="","",IFERROR(INDEX(Mentors!$P$2:$P$151,MATCH(D225,Mentors!$A$2:$A$151,0))&amp;"",""))</f>
        <v/>
      </c>
      <c r="H225" s="32" t="n"/>
      <c r="I225" s="32" t="n"/>
      <c r="J225" s="32" t="n"/>
      <c r="K225" s="24">
        <f>IF(B225="","",COUNT(I225:J225))</f>
        <v/>
      </c>
      <c r="L225" s="24" t="n"/>
      <c r="M225" s="24" t="n"/>
      <c r="N225" s="24" t="n"/>
      <c r="O225" s="24" t="n"/>
    </row>
    <row r="226">
      <c r="A226" s="24" t="inlineStr">
        <is>
          <t>M-225</t>
        </is>
      </c>
      <c r="B226" s="24" t="n"/>
      <c r="C226" s="24">
        <f>IF(B226="","",IFERROR(INDEX(Mentees!$D$2:$D$301,MATCH(B226,Mentees!$A$2:$A$301,0)),"ID not found"))</f>
        <v/>
      </c>
      <c r="D226" s="24" t="n"/>
      <c r="E226" s="24">
        <f>IF(D226="","",IFERROR(INDEX(Mentors!$D$2:$D$151,MATCH(D226,Mentors!$A$2:$A$151,0)),"ID not found"))</f>
        <v/>
      </c>
      <c r="F226" s="24">
        <f>IF(D226="","",IFERROR(INDEX(Mentors!$F$2:$F$151,MATCH(D226,Mentors!$A$2:$A$151,0))&amp;"",""))</f>
        <v/>
      </c>
      <c r="G226" s="24">
        <f>IF(D226="","",IFERROR(INDEX(Mentors!$P$2:$P$151,MATCH(D226,Mentors!$A$2:$A$151,0))&amp;"",""))</f>
        <v/>
      </c>
      <c r="H226" s="32" t="n"/>
      <c r="I226" s="32" t="n"/>
      <c r="J226" s="32" t="n"/>
      <c r="K226" s="24">
        <f>IF(B226="","",COUNT(I226:J226))</f>
        <v/>
      </c>
      <c r="L226" s="24" t="n"/>
      <c r="M226" s="24" t="n"/>
      <c r="N226" s="24" t="n"/>
      <c r="O226" s="24" t="n"/>
    </row>
    <row r="227">
      <c r="A227" s="24" t="inlineStr">
        <is>
          <t>M-226</t>
        </is>
      </c>
      <c r="B227" s="24" t="n"/>
      <c r="C227" s="24">
        <f>IF(B227="","",IFERROR(INDEX(Mentees!$D$2:$D$301,MATCH(B227,Mentees!$A$2:$A$301,0)),"ID not found"))</f>
        <v/>
      </c>
      <c r="D227" s="24" t="n"/>
      <c r="E227" s="24">
        <f>IF(D227="","",IFERROR(INDEX(Mentors!$D$2:$D$151,MATCH(D227,Mentors!$A$2:$A$151,0)),"ID not found"))</f>
        <v/>
      </c>
      <c r="F227" s="24">
        <f>IF(D227="","",IFERROR(INDEX(Mentors!$F$2:$F$151,MATCH(D227,Mentors!$A$2:$A$151,0))&amp;"",""))</f>
        <v/>
      </c>
      <c r="G227" s="24">
        <f>IF(D227="","",IFERROR(INDEX(Mentors!$P$2:$P$151,MATCH(D227,Mentors!$A$2:$A$151,0))&amp;"",""))</f>
        <v/>
      </c>
      <c r="H227" s="32" t="n"/>
      <c r="I227" s="32" t="n"/>
      <c r="J227" s="32" t="n"/>
      <c r="K227" s="24">
        <f>IF(B227="","",COUNT(I227:J227))</f>
        <v/>
      </c>
      <c r="L227" s="24" t="n"/>
      <c r="M227" s="24" t="n"/>
      <c r="N227" s="24" t="n"/>
      <c r="O227" s="24" t="n"/>
    </row>
    <row r="228">
      <c r="A228" s="24" t="inlineStr">
        <is>
          <t>M-227</t>
        </is>
      </c>
      <c r="B228" s="24" t="n"/>
      <c r="C228" s="24">
        <f>IF(B228="","",IFERROR(INDEX(Mentees!$D$2:$D$301,MATCH(B228,Mentees!$A$2:$A$301,0)),"ID not found"))</f>
        <v/>
      </c>
      <c r="D228" s="24" t="n"/>
      <c r="E228" s="24">
        <f>IF(D228="","",IFERROR(INDEX(Mentors!$D$2:$D$151,MATCH(D228,Mentors!$A$2:$A$151,0)),"ID not found"))</f>
        <v/>
      </c>
      <c r="F228" s="24">
        <f>IF(D228="","",IFERROR(INDEX(Mentors!$F$2:$F$151,MATCH(D228,Mentors!$A$2:$A$151,0))&amp;"",""))</f>
        <v/>
      </c>
      <c r="G228" s="24">
        <f>IF(D228="","",IFERROR(INDEX(Mentors!$P$2:$P$151,MATCH(D228,Mentors!$A$2:$A$151,0))&amp;"",""))</f>
        <v/>
      </c>
      <c r="H228" s="32" t="n"/>
      <c r="I228" s="32" t="n"/>
      <c r="J228" s="32" t="n"/>
      <c r="K228" s="24">
        <f>IF(B228="","",COUNT(I228:J228))</f>
        <v/>
      </c>
      <c r="L228" s="24" t="n"/>
      <c r="M228" s="24" t="n"/>
      <c r="N228" s="24" t="n"/>
      <c r="O228" s="24" t="n"/>
    </row>
    <row r="229">
      <c r="A229" s="24" t="inlineStr">
        <is>
          <t>M-228</t>
        </is>
      </c>
      <c r="B229" s="24" t="n"/>
      <c r="C229" s="24">
        <f>IF(B229="","",IFERROR(INDEX(Mentees!$D$2:$D$301,MATCH(B229,Mentees!$A$2:$A$301,0)),"ID not found"))</f>
        <v/>
      </c>
      <c r="D229" s="24" t="n"/>
      <c r="E229" s="24">
        <f>IF(D229="","",IFERROR(INDEX(Mentors!$D$2:$D$151,MATCH(D229,Mentors!$A$2:$A$151,0)),"ID not found"))</f>
        <v/>
      </c>
      <c r="F229" s="24">
        <f>IF(D229="","",IFERROR(INDEX(Mentors!$F$2:$F$151,MATCH(D229,Mentors!$A$2:$A$151,0))&amp;"",""))</f>
        <v/>
      </c>
      <c r="G229" s="24">
        <f>IF(D229="","",IFERROR(INDEX(Mentors!$P$2:$P$151,MATCH(D229,Mentors!$A$2:$A$151,0))&amp;"",""))</f>
        <v/>
      </c>
      <c r="H229" s="32" t="n"/>
      <c r="I229" s="32" t="n"/>
      <c r="J229" s="32" t="n"/>
      <c r="K229" s="24">
        <f>IF(B229="","",COUNT(I229:J229))</f>
        <v/>
      </c>
      <c r="L229" s="24" t="n"/>
      <c r="M229" s="24" t="n"/>
      <c r="N229" s="24" t="n"/>
      <c r="O229" s="24" t="n"/>
    </row>
    <row r="230">
      <c r="A230" s="24" t="inlineStr">
        <is>
          <t>M-229</t>
        </is>
      </c>
      <c r="B230" s="24" t="n"/>
      <c r="C230" s="24">
        <f>IF(B230="","",IFERROR(INDEX(Mentees!$D$2:$D$301,MATCH(B230,Mentees!$A$2:$A$301,0)),"ID not found"))</f>
        <v/>
      </c>
      <c r="D230" s="24" t="n"/>
      <c r="E230" s="24">
        <f>IF(D230="","",IFERROR(INDEX(Mentors!$D$2:$D$151,MATCH(D230,Mentors!$A$2:$A$151,0)),"ID not found"))</f>
        <v/>
      </c>
      <c r="F230" s="24">
        <f>IF(D230="","",IFERROR(INDEX(Mentors!$F$2:$F$151,MATCH(D230,Mentors!$A$2:$A$151,0))&amp;"",""))</f>
        <v/>
      </c>
      <c r="G230" s="24">
        <f>IF(D230="","",IFERROR(INDEX(Mentors!$P$2:$P$151,MATCH(D230,Mentors!$A$2:$A$151,0))&amp;"",""))</f>
        <v/>
      </c>
      <c r="H230" s="32" t="n"/>
      <c r="I230" s="32" t="n"/>
      <c r="J230" s="32" t="n"/>
      <c r="K230" s="24">
        <f>IF(B230="","",COUNT(I230:J230))</f>
        <v/>
      </c>
      <c r="L230" s="24" t="n"/>
      <c r="M230" s="24" t="n"/>
      <c r="N230" s="24" t="n"/>
      <c r="O230" s="24" t="n"/>
    </row>
    <row r="231">
      <c r="A231" s="24" t="inlineStr">
        <is>
          <t>M-230</t>
        </is>
      </c>
      <c r="B231" s="24" t="n"/>
      <c r="C231" s="24">
        <f>IF(B231="","",IFERROR(INDEX(Mentees!$D$2:$D$301,MATCH(B231,Mentees!$A$2:$A$301,0)),"ID not found"))</f>
        <v/>
      </c>
      <c r="D231" s="24" t="n"/>
      <c r="E231" s="24">
        <f>IF(D231="","",IFERROR(INDEX(Mentors!$D$2:$D$151,MATCH(D231,Mentors!$A$2:$A$151,0)),"ID not found"))</f>
        <v/>
      </c>
      <c r="F231" s="24">
        <f>IF(D231="","",IFERROR(INDEX(Mentors!$F$2:$F$151,MATCH(D231,Mentors!$A$2:$A$151,0))&amp;"",""))</f>
        <v/>
      </c>
      <c r="G231" s="24">
        <f>IF(D231="","",IFERROR(INDEX(Mentors!$P$2:$P$151,MATCH(D231,Mentors!$A$2:$A$151,0))&amp;"",""))</f>
        <v/>
      </c>
      <c r="H231" s="32" t="n"/>
      <c r="I231" s="32" t="n"/>
      <c r="J231" s="32" t="n"/>
      <c r="K231" s="24">
        <f>IF(B231="","",COUNT(I231:J231))</f>
        <v/>
      </c>
      <c r="L231" s="24" t="n"/>
      <c r="M231" s="24" t="n"/>
      <c r="N231" s="24" t="n"/>
      <c r="O231" s="24" t="n"/>
    </row>
    <row r="232">
      <c r="A232" s="24" t="inlineStr">
        <is>
          <t>M-231</t>
        </is>
      </c>
      <c r="B232" s="24" t="n"/>
      <c r="C232" s="24">
        <f>IF(B232="","",IFERROR(INDEX(Mentees!$D$2:$D$301,MATCH(B232,Mentees!$A$2:$A$301,0)),"ID not found"))</f>
        <v/>
      </c>
      <c r="D232" s="24" t="n"/>
      <c r="E232" s="24">
        <f>IF(D232="","",IFERROR(INDEX(Mentors!$D$2:$D$151,MATCH(D232,Mentors!$A$2:$A$151,0)),"ID not found"))</f>
        <v/>
      </c>
      <c r="F232" s="24">
        <f>IF(D232="","",IFERROR(INDEX(Mentors!$F$2:$F$151,MATCH(D232,Mentors!$A$2:$A$151,0))&amp;"",""))</f>
        <v/>
      </c>
      <c r="G232" s="24">
        <f>IF(D232="","",IFERROR(INDEX(Mentors!$P$2:$P$151,MATCH(D232,Mentors!$A$2:$A$151,0))&amp;"",""))</f>
        <v/>
      </c>
      <c r="H232" s="32" t="n"/>
      <c r="I232" s="32" t="n"/>
      <c r="J232" s="32" t="n"/>
      <c r="K232" s="24">
        <f>IF(B232="","",COUNT(I232:J232))</f>
        <v/>
      </c>
      <c r="L232" s="24" t="n"/>
      <c r="M232" s="24" t="n"/>
      <c r="N232" s="24" t="n"/>
      <c r="O232" s="24" t="n"/>
    </row>
    <row r="233">
      <c r="A233" s="24" t="inlineStr">
        <is>
          <t>M-232</t>
        </is>
      </c>
      <c r="B233" s="24" t="n"/>
      <c r="C233" s="24">
        <f>IF(B233="","",IFERROR(INDEX(Mentees!$D$2:$D$301,MATCH(B233,Mentees!$A$2:$A$301,0)),"ID not found"))</f>
        <v/>
      </c>
      <c r="D233" s="24" t="n"/>
      <c r="E233" s="24">
        <f>IF(D233="","",IFERROR(INDEX(Mentors!$D$2:$D$151,MATCH(D233,Mentors!$A$2:$A$151,0)),"ID not found"))</f>
        <v/>
      </c>
      <c r="F233" s="24">
        <f>IF(D233="","",IFERROR(INDEX(Mentors!$F$2:$F$151,MATCH(D233,Mentors!$A$2:$A$151,0))&amp;"",""))</f>
        <v/>
      </c>
      <c r="G233" s="24">
        <f>IF(D233="","",IFERROR(INDEX(Mentors!$P$2:$P$151,MATCH(D233,Mentors!$A$2:$A$151,0))&amp;"",""))</f>
        <v/>
      </c>
      <c r="H233" s="32" t="n"/>
      <c r="I233" s="32" t="n"/>
      <c r="J233" s="32" t="n"/>
      <c r="K233" s="24">
        <f>IF(B233="","",COUNT(I233:J233))</f>
        <v/>
      </c>
      <c r="L233" s="24" t="n"/>
      <c r="M233" s="24" t="n"/>
      <c r="N233" s="24" t="n"/>
      <c r="O233" s="24" t="n"/>
    </row>
    <row r="234">
      <c r="A234" s="24" t="inlineStr">
        <is>
          <t>M-233</t>
        </is>
      </c>
      <c r="B234" s="24" t="n"/>
      <c r="C234" s="24">
        <f>IF(B234="","",IFERROR(INDEX(Mentees!$D$2:$D$301,MATCH(B234,Mentees!$A$2:$A$301,0)),"ID not found"))</f>
        <v/>
      </c>
      <c r="D234" s="24" t="n"/>
      <c r="E234" s="24">
        <f>IF(D234="","",IFERROR(INDEX(Mentors!$D$2:$D$151,MATCH(D234,Mentors!$A$2:$A$151,0)),"ID not found"))</f>
        <v/>
      </c>
      <c r="F234" s="24">
        <f>IF(D234="","",IFERROR(INDEX(Mentors!$F$2:$F$151,MATCH(D234,Mentors!$A$2:$A$151,0))&amp;"",""))</f>
        <v/>
      </c>
      <c r="G234" s="24">
        <f>IF(D234="","",IFERROR(INDEX(Mentors!$P$2:$P$151,MATCH(D234,Mentors!$A$2:$A$151,0))&amp;"",""))</f>
        <v/>
      </c>
      <c r="H234" s="32" t="n"/>
      <c r="I234" s="32" t="n"/>
      <c r="J234" s="32" t="n"/>
      <c r="K234" s="24">
        <f>IF(B234="","",COUNT(I234:J234))</f>
        <v/>
      </c>
      <c r="L234" s="24" t="n"/>
      <c r="M234" s="24" t="n"/>
      <c r="N234" s="24" t="n"/>
      <c r="O234" s="24" t="n"/>
    </row>
    <row r="235">
      <c r="A235" s="24" t="inlineStr">
        <is>
          <t>M-234</t>
        </is>
      </c>
      <c r="B235" s="24" t="n"/>
      <c r="C235" s="24">
        <f>IF(B235="","",IFERROR(INDEX(Mentees!$D$2:$D$301,MATCH(B235,Mentees!$A$2:$A$301,0)),"ID not found"))</f>
        <v/>
      </c>
      <c r="D235" s="24" t="n"/>
      <c r="E235" s="24">
        <f>IF(D235="","",IFERROR(INDEX(Mentors!$D$2:$D$151,MATCH(D235,Mentors!$A$2:$A$151,0)),"ID not found"))</f>
        <v/>
      </c>
      <c r="F235" s="24">
        <f>IF(D235="","",IFERROR(INDEX(Mentors!$F$2:$F$151,MATCH(D235,Mentors!$A$2:$A$151,0))&amp;"",""))</f>
        <v/>
      </c>
      <c r="G235" s="24">
        <f>IF(D235="","",IFERROR(INDEX(Mentors!$P$2:$P$151,MATCH(D235,Mentors!$A$2:$A$151,0))&amp;"",""))</f>
        <v/>
      </c>
      <c r="H235" s="32" t="n"/>
      <c r="I235" s="32" t="n"/>
      <c r="J235" s="32" t="n"/>
      <c r="K235" s="24">
        <f>IF(B235="","",COUNT(I235:J235))</f>
        <v/>
      </c>
      <c r="L235" s="24" t="n"/>
      <c r="M235" s="24" t="n"/>
      <c r="N235" s="24" t="n"/>
      <c r="O235" s="24" t="n"/>
    </row>
    <row r="236">
      <c r="A236" s="24" t="inlineStr">
        <is>
          <t>M-235</t>
        </is>
      </c>
      <c r="B236" s="24" t="n"/>
      <c r="C236" s="24">
        <f>IF(B236="","",IFERROR(INDEX(Mentees!$D$2:$D$301,MATCH(B236,Mentees!$A$2:$A$301,0)),"ID not found"))</f>
        <v/>
      </c>
      <c r="D236" s="24" t="n"/>
      <c r="E236" s="24">
        <f>IF(D236="","",IFERROR(INDEX(Mentors!$D$2:$D$151,MATCH(D236,Mentors!$A$2:$A$151,0)),"ID not found"))</f>
        <v/>
      </c>
      <c r="F236" s="24">
        <f>IF(D236="","",IFERROR(INDEX(Mentors!$F$2:$F$151,MATCH(D236,Mentors!$A$2:$A$151,0))&amp;"",""))</f>
        <v/>
      </c>
      <c r="G236" s="24">
        <f>IF(D236="","",IFERROR(INDEX(Mentors!$P$2:$P$151,MATCH(D236,Mentors!$A$2:$A$151,0))&amp;"",""))</f>
        <v/>
      </c>
      <c r="H236" s="32" t="n"/>
      <c r="I236" s="32" t="n"/>
      <c r="J236" s="32" t="n"/>
      <c r="K236" s="24">
        <f>IF(B236="","",COUNT(I236:J236))</f>
        <v/>
      </c>
      <c r="L236" s="24" t="n"/>
      <c r="M236" s="24" t="n"/>
      <c r="N236" s="24" t="n"/>
      <c r="O236" s="24" t="n"/>
    </row>
    <row r="237">
      <c r="A237" s="24" t="inlineStr">
        <is>
          <t>M-236</t>
        </is>
      </c>
      <c r="B237" s="24" t="n"/>
      <c r="C237" s="24">
        <f>IF(B237="","",IFERROR(INDEX(Mentees!$D$2:$D$301,MATCH(B237,Mentees!$A$2:$A$301,0)),"ID not found"))</f>
        <v/>
      </c>
      <c r="D237" s="24" t="n"/>
      <c r="E237" s="24">
        <f>IF(D237="","",IFERROR(INDEX(Mentors!$D$2:$D$151,MATCH(D237,Mentors!$A$2:$A$151,0)),"ID not found"))</f>
        <v/>
      </c>
      <c r="F237" s="24">
        <f>IF(D237="","",IFERROR(INDEX(Mentors!$F$2:$F$151,MATCH(D237,Mentors!$A$2:$A$151,0))&amp;"",""))</f>
        <v/>
      </c>
      <c r="G237" s="24">
        <f>IF(D237="","",IFERROR(INDEX(Mentors!$P$2:$P$151,MATCH(D237,Mentors!$A$2:$A$151,0))&amp;"",""))</f>
        <v/>
      </c>
      <c r="H237" s="32" t="n"/>
      <c r="I237" s="32" t="n"/>
      <c r="J237" s="32" t="n"/>
      <c r="K237" s="24">
        <f>IF(B237="","",COUNT(I237:J237))</f>
        <v/>
      </c>
      <c r="L237" s="24" t="n"/>
      <c r="M237" s="24" t="n"/>
      <c r="N237" s="24" t="n"/>
      <c r="O237" s="24" t="n"/>
    </row>
    <row r="238">
      <c r="A238" s="24" t="inlineStr">
        <is>
          <t>M-237</t>
        </is>
      </c>
      <c r="B238" s="24" t="n"/>
      <c r="C238" s="24">
        <f>IF(B238="","",IFERROR(INDEX(Mentees!$D$2:$D$301,MATCH(B238,Mentees!$A$2:$A$301,0)),"ID not found"))</f>
        <v/>
      </c>
      <c r="D238" s="24" t="n"/>
      <c r="E238" s="24">
        <f>IF(D238="","",IFERROR(INDEX(Mentors!$D$2:$D$151,MATCH(D238,Mentors!$A$2:$A$151,0)),"ID not found"))</f>
        <v/>
      </c>
      <c r="F238" s="24">
        <f>IF(D238="","",IFERROR(INDEX(Mentors!$F$2:$F$151,MATCH(D238,Mentors!$A$2:$A$151,0))&amp;"",""))</f>
        <v/>
      </c>
      <c r="G238" s="24">
        <f>IF(D238="","",IFERROR(INDEX(Mentors!$P$2:$P$151,MATCH(D238,Mentors!$A$2:$A$151,0))&amp;"",""))</f>
        <v/>
      </c>
      <c r="H238" s="32" t="n"/>
      <c r="I238" s="32" t="n"/>
      <c r="J238" s="32" t="n"/>
      <c r="K238" s="24">
        <f>IF(B238="","",COUNT(I238:J238))</f>
        <v/>
      </c>
      <c r="L238" s="24" t="n"/>
      <c r="M238" s="24" t="n"/>
      <c r="N238" s="24" t="n"/>
      <c r="O238" s="24" t="n"/>
    </row>
    <row r="239">
      <c r="A239" s="24" t="inlineStr">
        <is>
          <t>M-238</t>
        </is>
      </c>
      <c r="B239" s="24" t="n"/>
      <c r="C239" s="24">
        <f>IF(B239="","",IFERROR(INDEX(Mentees!$D$2:$D$301,MATCH(B239,Mentees!$A$2:$A$301,0)),"ID not found"))</f>
        <v/>
      </c>
      <c r="D239" s="24" t="n"/>
      <c r="E239" s="24">
        <f>IF(D239="","",IFERROR(INDEX(Mentors!$D$2:$D$151,MATCH(D239,Mentors!$A$2:$A$151,0)),"ID not found"))</f>
        <v/>
      </c>
      <c r="F239" s="24">
        <f>IF(D239="","",IFERROR(INDEX(Mentors!$F$2:$F$151,MATCH(D239,Mentors!$A$2:$A$151,0))&amp;"",""))</f>
        <v/>
      </c>
      <c r="G239" s="24">
        <f>IF(D239="","",IFERROR(INDEX(Mentors!$P$2:$P$151,MATCH(D239,Mentors!$A$2:$A$151,0))&amp;"",""))</f>
        <v/>
      </c>
      <c r="H239" s="32" t="n"/>
      <c r="I239" s="32" t="n"/>
      <c r="J239" s="32" t="n"/>
      <c r="K239" s="24">
        <f>IF(B239="","",COUNT(I239:J239))</f>
        <v/>
      </c>
      <c r="L239" s="24" t="n"/>
      <c r="M239" s="24" t="n"/>
      <c r="N239" s="24" t="n"/>
      <c r="O239" s="24" t="n"/>
    </row>
    <row r="240">
      <c r="A240" s="24" t="inlineStr">
        <is>
          <t>M-239</t>
        </is>
      </c>
      <c r="B240" s="24" t="n"/>
      <c r="C240" s="24">
        <f>IF(B240="","",IFERROR(INDEX(Mentees!$D$2:$D$301,MATCH(B240,Mentees!$A$2:$A$301,0)),"ID not found"))</f>
        <v/>
      </c>
      <c r="D240" s="24" t="n"/>
      <c r="E240" s="24">
        <f>IF(D240="","",IFERROR(INDEX(Mentors!$D$2:$D$151,MATCH(D240,Mentors!$A$2:$A$151,0)),"ID not found"))</f>
        <v/>
      </c>
      <c r="F240" s="24">
        <f>IF(D240="","",IFERROR(INDEX(Mentors!$F$2:$F$151,MATCH(D240,Mentors!$A$2:$A$151,0))&amp;"",""))</f>
        <v/>
      </c>
      <c r="G240" s="24">
        <f>IF(D240="","",IFERROR(INDEX(Mentors!$P$2:$P$151,MATCH(D240,Mentors!$A$2:$A$151,0))&amp;"",""))</f>
        <v/>
      </c>
      <c r="H240" s="32" t="n"/>
      <c r="I240" s="32" t="n"/>
      <c r="J240" s="32" t="n"/>
      <c r="K240" s="24">
        <f>IF(B240="","",COUNT(I240:J240))</f>
        <v/>
      </c>
      <c r="L240" s="24" t="n"/>
      <c r="M240" s="24" t="n"/>
      <c r="N240" s="24" t="n"/>
      <c r="O240" s="24" t="n"/>
    </row>
    <row r="241">
      <c r="A241" s="24" t="inlineStr">
        <is>
          <t>M-240</t>
        </is>
      </c>
      <c r="B241" s="24" t="n"/>
      <c r="C241" s="24">
        <f>IF(B241="","",IFERROR(INDEX(Mentees!$D$2:$D$301,MATCH(B241,Mentees!$A$2:$A$301,0)),"ID not found"))</f>
        <v/>
      </c>
      <c r="D241" s="24" t="n"/>
      <c r="E241" s="24">
        <f>IF(D241="","",IFERROR(INDEX(Mentors!$D$2:$D$151,MATCH(D241,Mentors!$A$2:$A$151,0)),"ID not found"))</f>
        <v/>
      </c>
      <c r="F241" s="24">
        <f>IF(D241="","",IFERROR(INDEX(Mentors!$F$2:$F$151,MATCH(D241,Mentors!$A$2:$A$151,0))&amp;"",""))</f>
        <v/>
      </c>
      <c r="G241" s="24">
        <f>IF(D241="","",IFERROR(INDEX(Mentors!$P$2:$P$151,MATCH(D241,Mentors!$A$2:$A$151,0))&amp;"",""))</f>
        <v/>
      </c>
      <c r="H241" s="32" t="n"/>
      <c r="I241" s="32" t="n"/>
      <c r="J241" s="32" t="n"/>
      <c r="K241" s="24">
        <f>IF(B241="","",COUNT(I241:J241))</f>
        <v/>
      </c>
      <c r="L241" s="24" t="n"/>
      <c r="M241" s="24" t="n"/>
      <c r="N241" s="24" t="n"/>
      <c r="O241" s="24" t="n"/>
    </row>
    <row r="242">
      <c r="A242" s="24" t="inlineStr">
        <is>
          <t>M-241</t>
        </is>
      </c>
      <c r="B242" s="24" t="n"/>
      <c r="C242" s="24">
        <f>IF(B242="","",IFERROR(INDEX(Mentees!$D$2:$D$301,MATCH(B242,Mentees!$A$2:$A$301,0)),"ID not found"))</f>
        <v/>
      </c>
      <c r="D242" s="24" t="n"/>
      <c r="E242" s="24">
        <f>IF(D242="","",IFERROR(INDEX(Mentors!$D$2:$D$151,MATCH(D242,Mentors!$A$2:$A$151,0)),"ID not found"))</f>
        <v/>
      </c>
      <c r="F242" s="24">
        <f>IF(D242="","",IFERROR(INDEX(Mentors!$F$2:$F$151,MATCH(D242,Mentors!$A$2:$A$151,0))&amp;"",""))</f>
        <v/>
      </c>
      <c r="G242" s="24">
        <f>IF(D242="","",IFERROR(INDEX(Mentors!$P$2:$P$151,MATCH(D242,Mentors!$A$2:$A$151,0))&amp;"",""))</f>
        <v/>
      </c>
      <c r="H242" s="32" t="n"/>
      <c r="I242" s="32" t="n"/>
      <c r="J242" s="32" t="n"/>
      <c r="K242" s="24">
        <f>IF(B242="","",COUNT(I242:J242))</f>
        <v/>
      </c>
      <c r="L242" s="24" t="n"/>
      <c r="M242" s="24" t="n"/>
      <c r="N242" s="24" t="n"/>
      <c r="O242" s="24" t="n"/>
    </row>
    <row r="243">
      <c r="A243" s="24" t="inlineStr">
        <is>
          <t>M-242</t>
        </is>
      </c>
      <c r="B243" s="24" t="n"/>
      <c r="C243" s="24">
        <f>IF(B243="","",IFERROR(INDEX(Mentees!$D$2:$D$301,MATCH(B243,Mentees!$A$2:$A$301,0)),"ID not found"))</f>
        <v/>
      </c>
      <c r="D243" s="24" t="n"/>
      <c r="E243" s="24">
        <f>IF(D243="","",IFERROR(INDEX(Mentors!$D$2:$D$151,MATCH(D243,Mentors!$A$2:$A$151,0)),"ID not found"))</f>
        <v/>
      </c>
      <c r="F243" s="24">
        <f>IF(D243="","",IFERROR(INDEX(Mentors!$F$2:$F$151,MATCH(D243,Mentors!$A$2:$A$151,0))&amp;"",""))</f>
        <v/>
      </c>
      <c r="G243" s="24">
        <f>IF(D243="","",IFERROR(INDEX(Mentors!$P$2:$P$151,MATCH(D243,Mentors!$A$2:$A$151,0))&amp;"",""))</f>
        <v/>
      </c>
      <c r="H243" s="32" t="n"/>
      <c r="I243" s="32" t="n"/>
      <c r="J243" s="32" t="n"/>
      <c r="K243" s="24">
        <f>IF(B243="","",COUNT(I243:J243))</f>
        <v/>
      </c>
      <c r="L243" s="24" t="n"/>
      <c r="M243" s="24" t="n"/>
      <c r="N243" s="24" t="n"/>
      <c r="O243" s="24" t="n"/>
    </row>
    <row r="244">
      <c r="A244" s="24" t="inlineStr">
        <is>
          <t>M-243</t>
        </is>
      </c>
      <c r="B244" s="24" t="n"/>
      <c r="C244" s="24">
        <f>IF(B244="","",IFERROR(INDEX(Mentees!$D$2:$D$301,MATCH(B244,Mentees!$A$2:$A$301,0)),"ID not found"))</f>
        <v/>
      </c>
      <c r="D244" s="24" t="n"/>
      <c r="E244" s="24">
        <f>IF(D244="","",IFERROR(INDEX(Mentors!$D$2:$D$151,MATCH(D244,Mentors!$A$2:$A$151,0)),"ID not found"))</f>
        <v/>
      </c>
      <c r="F244" s="24">
        <f>IF(D244="","",IFERROR(INDEX(Mentors!$F$2:$F$151,MATCH(D244,Mentors!$A$2:$A$151,0))&amp;"",""))</f>
        <v/>
      </c>
      <c r="G244" s="24">
        <f>IF(D244="","",IFERROR(INDEX(Mentors!$P$2:$P$151,MATCH(D244,Mentors!$A$2:$A$151,0))&amp;"",""))</f>
        <v/>
      </c>
      <c r="H244" s="32" t="n"/>
      <c r="I244" s="32" t="n"/>
      <c r="J244" s="32" t="n"/>
      <c r="K244" s="24">
        <f>IF(B244="","",COUNT(I244:J244))</f>
        <v/>
      </c>
      <c r="L244" s="24" t="n"/>
      <c r="M244" s="24" t="n"/>
      <c r="N244" s="24" t="n"/>
      <c r="O244" s="24" t="n"/>
    </row>
    <row r="245">
      <c r="A245" s="24" t="inlineStr">
        <is>
          <t>M-244</t>
        </is>
      </c>
      <c r="B245" s="24" t="n"/>
      <c r="C245" s="24">
        <f>IF(B245="","",IFERROR(INDEX(Mentees!$D$2:$D$301,MATCH(B245,Mentees!$A$2:$A$301,0)),"ID not found"))</f>
        <v/>
      </c>
      <c r="D245" s="24" t="n"/>
      <c r="E245" s="24">
        <f>IF(D245="","",IFERROR(INDEX(Mentors!$D$2:$D$151,MATCH(D245,Mentors!$A$2:$A$151,0)),"ID not found"))</f>
        <v/>
      </c>
      <c r="F245" s="24">
        <f>IF(D245="","",IFERROR(INDEX(Mentors!$F$2:$F$151,MATCH(D245,Mentors!$A$2:$A$151,0))&amp;"",""))</f>
        <v/>
      </c>
      <c r="G245" s="24">
        <f>IF(D245="","",IFERROR(INDEX(Mentors!$P$2:$P$151,MATCH(D245,Mentors!$A$2:$A$151,0))&amp;"",""))</f>
        <v/>
      </c>
      <c r="H245" s="32" t="n"/>
      <c r="I245" s="32" t="n"/>
      <c r="J245" s="32" t="n"/>
      <c r="K245" s="24">
        <f>IF(B245="","",COUNT(I245:J245))</f>
        <v/>
      </c>
      <c r="L245" s="24" t="n"/>
      <c r="M245" s="24" t="n"/>
      <c r="N245" s="24" t="n"/>
      <c r="O245" s="24" t="n"/>
    </row>
    <row r="246">
      <c r="A246" s="24" t="inlineStr">
        <is>
          <t>M-245</t>
        </is>
      </c>
      <c r="B246" s="24" t="n"/>
      <c r="C246" s="24">
        <f>IF(B246="","",IFERROR(INDEX(Mentees!$D$2:$D$301,MATCH(B246,Mentees!$A$2:$A$301,0)),"ID not found"))</f>
        <v/>
      </c>
      <c r="D246" s="24" t="n"/>
      <c r="E246" s="24">
        <f>IF(D246="","",IFERROR(INDEX(Mentors!$D$2:$D$151,MATCH(D246,Mentors!$A$2:$A$151,0)),"ID not found"))</f>
        <v/>
      </c>
      <c r="F246" s="24">
        <f>IF(D246="","",IFERROR(INDEX(Mentors!$F$2:$F$151,MATCH(D246,Mentors!$A$2:$A$151,0))&amp;"",""))</f>
        <v/>
      </c>
      <c r="G246" s="24">
        <f>IF(D246="","",IFERROR(INDEX(Mentors!$P$2:$P$151,MATCH(D246,Mentors!$A$2:$A$151,0))&amp;"",""))</f>
        <v/>
      </c>
      <c r="H246" s="32" t="n"/>
      <c r="I246" s="32" t="n"/>
      <c r="J246" s="32" t="n"/>
      <c r="K246" s="24">
        <f>IF(B246="","",COUNT(I246:J246))</f>
        <v/>
      </c>
      <c r="L246" s="24" t="n"/>
      <c r="M246" s="24" t="n"/>
      <c r="N246" s="24" t="n"/>
      <c r="O246" s="24" t="n"/>
    </row>
    <row r="247">
      <c r="A247" s="24" t="inlineStr">
        <is>
          <t>M-246</t>
        </is>
      </c>
      <c r="B247" s="24" t="n"/>
      <c r="C247" s="24">
        <f>IF(B247="","",IFERROR(INDEX(Mentees!$D$2:$D$301,MATCH(B247,Mentees!$A$2:$A$301,0)),"ID not found"))</f>
        <v/>
      </c>
      <c r="D247" s="24" t="n"/>
      <c r="E247" s="24">
        <f>IF(D247="","",IFERROR(INDEX(Mentors!$D$2:$D$151,MATCH(D247,Mentors!$A$2:$A$151,0)),"ID not found"))</f>
        <v/>
      </c>
      <c r="F247" s="24">
        <f>IF(D247="","",IFERROR(INDEX(Mentors!$F$2:$F$151,MATCH(D247,Mentors!$A$2:$A$151,0))&amp;"",""))</f>
        <v/>
      </c>
      <c r="G247" s="24">
        <f>IF(D247="","",IFERROR(INDEX(Mentors!$P$2:$P$151,MATCH(D247,Mentors!$A$2:$A$151,0))&amp;"",""))</f>
        <v/>
      </c>
      <c r="H247" s="32" t="n"/>
      <c r="I247" s="32" t="n"/>
      <c r="J247" s="32" t="n"/>
      <c r="K247" s="24">
        <f>IF(B247="","",COUNT(I247:J247))</f>
        <v/>
      </c>
      <c r="L247" s="24" t="n"/>
      <c r="M247" s="24" t="n"/>
      <c r="N247" s="24" t="n"/>
      <c r="O247" s="24" t="n"/>
    </row>
    <row r="248">
      <c r="A248" s="24" t="inlineStr">
        <is>
          <t>M-247</t>
        </is>
      </c>
      <c r="B248" s="24" t="n"/>
      <c r="C248" s="24">
        <f>IF(B248="","",IFERROR(INDEX(Mentees!$D$2:$D$301,MATCH(B248,Mentees!$A$2:$A$301,0)),"ID not found"))</f>
        <v/>
      </c>
      <c r="D248" s="24" t="n"/>
      <c r="E248" s="24">
        <f>IF(D248="","",IFERROR(INDEX(Mentors!$D$2:$D$151,MATCH(D248,Mentors!$A$2:$A$151,0)),"ID not found"))</f>
        <v/>
      </c>
      <c r="F248" s="24">
        <f>IF(D248="","",IFERROR(INDEX(Mentors!$F$2:$F$151,MATCH(D248,Mentors!$A$2:$A$151,0))&amp;"",""))</f>
        <v/>
      </c>
      <c r="G248" s="24">
        <f>IF(D248="","",IFERROR(INDEX(Mentors!$P$2:$P$151,MATCH(D248,Mentors!$A$2:$A$151,0))&amp;"",""))</f>
        <v/>
      </c>
      <c r="H248" s="32" t="n"/>
      <c r="I248" s="32" t="n"/>
      <c r="J248" s="32" t="n"/>
      <c r="K248" s="24">
        <f>IF(B248="","",COUNT(I248:J248))</f>
        <v/>
      </c>
      <c r="L248" s="24" t="n"/>
      <c r="M248" s="24" t="n"/>
      <c r="N248" s="24" t="n"/>
      <c r="O248" s="24" t="n"/>
    </row>
    <row r="249">
      <c r="A249" s="24" t="inlineStr">
        <is>
          <t>M-248</t>
        </is>
      </c>
      <c r="B249" s="24" t="n"/>
      <c r="C249" s="24">
        <f>IF(B249="","",IFERROR(INDEX(Mentees!$D$2:$D$301,MATCH(B249,Mentees!$A$2:$A$301,0)),"ID not found"))</f>
        <v/>
      </c>
      <c r="D249" s="24" t="n"/>
      <c r="E249" s="24">
        <f>IF(D249="","",IFERROR(INDEX(Mentors!$D$2:$D$151,MATCH(D249,Mentors!$A$2:$A$151,0)),"ID not found"))</f>
        <v/>
      </c>
      <c r="F249" s="24">
        <f>IF(D249="","",IFERROR(INDEX(Mentors!$F$2:$F$151,MATCH(D249,Mentors!$A$2:$A$151,0))&amp;"",""))</f>
        <v/>
      </c>
      <c r="G249" s="24">
        <f>IF(D249="","",IFERROR(INDEX(Mentors!$P$2:$P$151,MATCH(D249,Mentors!$A$2:$A$151,0))&amp;"",""))</f>
        <v/>
      </c>
      <c r="H249" s="32" t="n"/>
      <c r="I249" s="32" t="n"/>
      <c r="J249" s="32" t="n"/>
      <c r="K249" s="24">
        <f>IF(B249="","",COUNT(I249:J249))</f>
        <v/>
      </c>
      <c r="L249" s="24" t="n"/>
      <c r="M249" s="24" t="n"/>
      <c r="N249" s="24" t="n"/>
      <c r="O249" s="24" t="n"/>
    </row>
    <row r="250">
      <c r="A250" s="24" t="inlineStr">
        <is>
          <t>M-249</t>
        </is>
      </c>
      <c r="B250" s="24" t="n"/>
      <c r="C250" s="24">
        <f>IF(B250="","",IFERROR(INDEX(Mentees!$D$2:$D$301,MATCH(B250,Mentees!$A$2:$A$301,0)),"ID not found"))</f>
        <v/>
      </c>
      <c r="D250" s="24" t="n"/>
      <c r="E250" s="24">
        <f>IF(D250="","",IFERROR(INDEX(Mentors!$D$2:$D$151,MATCH(D250,Mentors!$A$2:$A$151,0)),"ID not found"))</f>
        <v/>
      </c>
      <c r="F250" s="24">
        <f>IF(D250="","",IFERROR(INDEX(Mentors!$F$2:$F$151,MATCH(D250,Mentors!$A$2:$A$151,0))&amp;"",""))</f>
        <v/>
      </c>
      <c r="G250" s="24">
        <f>IF(D250="","",IFERROR(INDEX(Mentors!$P$2:$P$151,MATCH(D250,Mentors!$A$2:$A$151,0))&amp;"",""))</f>
        <v/>
      </c>
      <c r="H250" s="32" t="n"/>
      <c r="I250" s="32" t="n"/>
      <c r="J250" s="32" t="n"/>
      <c r="K250" s="24">
        <f>IF(B250="","",COUNT(I250:J250))</f>
        <v/>
      </c>
      <c r="L250" s="24" t="n"/>
      <c r="M250" s="24" t="n"/>
      <c r="N250" s="24" t="n"/>
      <c r="O250" s="24" t="n"/>
    </row>
    <row r="251">
      <c r="A251" s="24" t="inlineStr">
        <is>
          <t>M-250</t>
        </is>
      </c>
      <c r="B251" s="24" t="n"/>
      <c r="C251" s="24">
        <f>IF(B251="","",IFERROR(INDEX(Mentees!$D$2:$D$301,MATCH(B251,Mentees!$A$2:$A$301,0)),"ID not found"))</f>
        <v/>
      </c>
      <c r="D251" s="24" t="n"/>
      <c r="E251" s="24">
        <f>IF(D251="","",IFERROR(INDEX(Mentors!$D$2:$D$151,MATCH(D251,Mentors!$A$2:$A$151,0)),"ID not found"))</f>
        <v/>
      </c>
      <c r="F251" s="24">
        <f>IF(D251="","",IFERROR(INDEX(Mentors!$F$2:$F$151,MATCH(D251,Mentors!$A$2:$A$151,0))&amp;"",""))</f>
        <v/>
      </c>
      <c r="G251" s="24">
        <f>IF(D251="","",IFERROR(INDEX(Mentors!$P$2:$P$151,MATCH(D251,Mentors!$A$2:$A$151,0))&amp;"",""))</f>
        <v/>
      </c>
      <c r="H251" s="32" t="n"/>
      <c r="I251" s="32" t="n"/>
      <c r="J251" s="32" t="n"/>
      <c r="K251" s="24">
        <f>IF(B251="","",COUNT(I251:J251))</f>
        <v/>
      </c>
      <c r="L251" s="24" t="n"/>
      <c r="M251" s="24" t="n"/>
      <c r="N251" s="24" t="n"/>
      <c r="O251" s="24" t="n"/>
    </row>
    <row r="252">
      <c r="A252" s="24" t="inlineStr">
        <is>
          <t>M-251</t>
        </is>
      </c>
      <c r="B252" s="24" t="n"/>
      <c r="C252" s="24">
        <f>IF(B252="","",IFERROR(INDEX(Mentees!$D$2:$D$301,MATCH(B252,Mentees!$A$2:$A$301,0)),"ID not found"))</f>
        <v/>
      </c>
      <c r="D252" s="24" t="n"/>
      <c r="E252" s="24">
        <f>IF(D252="","",IFERROR(INDEX(Mentors!$D$2:$D$151,MATCH(D252,Mentors!$A$2:$A$151,0)),"ID not found"))</f>
        <v/>
      </c>
      <c r="F252" s="24">
        <f>IF(D252="","",IFERROR(INDEX(Mentors!$F$2:$F$151,MATCH(D252,Mentors!$A$2:$A$151,0))&amp;"",""))</f>
        <v/>
      </c>
      <c r="G252" s="24">
        <f>IF(D252="","",IFERROR(INDEX(Mentors!$P$2:$P$151,MATCH(D252,Mentors!$A$2:$A$151,0))&amp;"",""))</f>
        <v/>
      </c>
      <c r="H252" s="32" t="n"/>
      <c r="I252" s="32" t="n"/>
      <c r="J252" s="32" t="n"/>
      <c r="K252" s="24">
        <f>IF(B252="","",COUNT(I252:J252))</f>
        <v/>
      </c>
      <c r="L252" s="24" t="n"/>
      <c r="M252" s="24" t="n"/>
      <c r="N252" s="24" t="n"/>
      <c r="O252" s="24" t="n"/>
    </row>
    <row r="253">
      <c r="A253" s="24" t="inlineStr">
        <is>
          <t>M-252</t>
        </is>
      </c>
      <c r="B253" s="24" t="n"/>
      <c r="C253" s="24">
        <f>IF(B253="","",IFERROR(INDEX(Mentees!$D$2:$D$301,MATCH(B253,Mentees!$A$2:$A$301,0)),"ID not found"))</f>
        <v/>
      </c>
      <c r="D253" s="24" t="n"/>
      <c r="E253" s="24">
        <f>IF(D253="","",IFERROR(INDEX(Mentors!$D$2:$D$151,MATCH(D253,Mentors!$A$2:$A$151,0)),"ID not found"))</f>
        <v/>
      </c>
      <c r="F253" s="24">
        <f>IF(D253="","",IFERROR(INDEX(Mentors!$F$2:$F$151,MATCH(D253,Mentors!$A$2:$A$151,0))&amp;"",""))</f>
        <v/>
      </c>
      <c r="G253" s="24">
        <f>IF(D253="","",IFERROR(INDEX(Mentors!$P$2:$P$151,MATCH(D253,Mentors!$A$2:$A$151,0))&amp;"",""))</f>
        <v/>
      </c>
      <c r="H253" s="32" t="n"/>
      <c r="I253" s="32" t="n"/>
      <c r="J253" s="32" t="n"/>
      <c r="K253" s="24">
        <f>IF(B253="","",COUNT(I253:J253))</f>
        <v/>
      </c>
      <c r="L253" s="24" t="n"/>
      <c r="M253" s="24" t="n"/>
      <c r="N253" s="24" t="n"/>
      <c r="O253" s="24" t="n"/>
    </row>
    <row r="254">
      <c r="A254" s="24" t="inlineStr">
        <is>
          <t>M-253</t>
        </is>
      </c>
      <c r="B254" s="24" t="n"/>
      <c r="C254" s="24">
        <f>IF(B254="","",IFERROR(INDEX(Mentees!$D$2:$D$301,MATCH(B254,Mentees!$A$2:$A$301,0)),"ID not found"))</f>
        <v/>
      </c>
      <c r="D254" s="24" t="n"/>
      <c r="E254" s="24">
        <f>IF(D254="","",IFERROR(INDEX(Mentors!$D$2:$D$151,MATCH(D254,Mentors!$A$2:$A$151,0)),"ID not found"))</f>
        <v/>
      </c>
      <c r="F254" s="24">
        <f>IF(D254="","",IFERROR(INDEX(Mentors!$F$2:$F$151,MATCH(D254,Mentors!$A$2:$A$151,0))&amp;"",""))</f>
        <v/>
      </c>
      <c r="G254" s="24">
        <f>IF(D254="","",IFERROR(INDEX(Mentors!$P$2:$P$151,MATCH(D254,Mentors!$A$2:$A$151,0))&amp;"",""))</f>
        <v/>
      </c>
      <c r="H254" s="32" t="n"/>
      <c r="I254" s="32" t="n"/>
      <c r="J254" s="32" t="n"/>
      <c r="K254" s="24">
        <f>IF(B254="","",COUNT(I254:J254))</f>
        <v/>
      </c>
      <c r="L254" s="24" t="n"/>
      <c r="M254" s="24" t="n"/>
      <c r="N254" s="24" t="n"/>
      <c r="O254" s="24" t="n"/>
    </row>
    <row r="255">
      <c r="A255" s="24" t="inlineStr">
        <is>
          <t>M-254</t>
        </is>
      </c>
      <c r="B255" s="24" t="n"/>
      <c r="C255" s="24">
        <f>IF(B255="","",IFERROR(INDEX(Mentees!$D$2:$D$301,MATCH(B255,Mentees!$A$2:$A$301,0)),"ID not found"))</f>
        <v/>
      </c>
      <c r="D255" s="24" t="n"/>
      <c r="E255" s="24">
        <f>IF(D255="","",IFERROR(INDEX(Mentors!$D$2:$D$151,MATCH(D255,Mentors!$A$2:$A$151,0)),"ID not found"))</f>
        <v/>
      </c>
      <c r="F255" s="24">
        <f>IF(D255="","",IFERROR(INDEX(Mentors!$F$2:$F$151,MATCH(D255,Mentors!$A$2:$A$151,0))&amp;"",""))</f>
        <v/>
      </c>
      <c r="G255" s="24">
        <f>IF(D255="","",IFERROR(INDEX(Mentors!$P$2:$P$151,MATCH(D255,Mentors!$A$2:$A$151,0))&amp;"",""))</f>
        <v/>
      </c>
      <c r="H255" s="32" t="n"/>
      <c r="I255" s="32" t="n"/>
      <c r="J255" s="32" t="n"/>
      <c r="K255" s="24">
        <f>IF(B255="","",COUNT(I255:J255))</f>
        <v/>
      </c>
      <c r="L255" s="24" t="n"/>
      <c r="M255" s="24" t="n"/>
      <c r="N255" s="24" t="n"/>
      <c r="O255" s="24" t="n"/>
    </row>
    <row r="256">
      <c r="A256" s="24" t="inlineStr">
        <is>
          <t>M-255</t>
        </is>
      </c>
      <c r="B256" s="24" t="n"/>
      <c r="C256" s="24">
        <f>IF(B256="","",IFERROR(INDEX(Mentees!$D$2:$D$301,MATCH(B256,Mentees!$A$2:$A$301,0)),"ID not found"))</f>
        <v/>
      </c>
      <c r="D256" s="24" t="n"/>
      <c r="E256" s="24">
        <f>IF(D256="","",IFERROR(INDEX(Mentors!$D$2:$D$151,MATCH(D256,Mentors!$A$2:$A$151,0)),"ID not found"))</f>
        <v/>
      </c>
      <c r="F256" s="24">
        <f>IF(D256="","",IFERROR(INDEX(Mentors!$F$2:$F$151,MATCH(D256,Mentors!$A$2:$A$151,0))&amp;"",""))</f>
        <v/>
      </c>
      <c r="G256" s="24">
        <f>IF(D256="","",IFERROR(INDEX(Mentors!$P$2:$P$151,MATCH(D256,Mentors!$A$2:$A$151,0))&amp;"",""))</f>
        <v/>
      </c>
      <c r="H256" s="32" t="n"/>
      <c r="I256" s="32" t="n"/>
      <c r="J256" s="32" t="n"/>
      <c r="K256" s="24">
        <f>IF(B256="","",COUNT(I256:J256))</f>
        <v/>
      </c>
      <c r="L256" s="24" t="n"/>
      <c r="M256" s="24" t="n"/>
      <c r="N256" s="24" t="n"/>
      <c r="O256" s="24" t="n"/>
    </row>
    <row r="257">
      <c r="A257" s="24" t="inlineStr">
        <is>
          <t>M-256</t>
        </is>
      </c>
      <c r="B257" s="24" t="n"/>
      <c r="C257" s="24">
        <f>IF(B257="","",IFERROR(INDEX(Mentees!$D$2:$D$301,MATCH(B257,Mentees!$A$2:$A$301,0)),"ID not found"))</f>
        <v/>
      </c>
      <c r="D257" s="24" t="n"/>
      <c r="E257" s="24">
        <f>IF(D257="","",IFERROR(INDEX(Mentors!$D$2:$D$151,MATCH(D257,Mentors!$A$2:$A$151,0)),"ID not found"))</f>
        <v/>
      </c>
      <c r="F257" s="24">
        <f>IF(D257="","",IFERROR(INDEX(Mentors!$F$2:$F$151,MATCH(D257,Mentors!$A$2:$A$151,0))&amp;"",""))</f>
        <v/>
      </c>
      <c r="G257" s="24">
        <f>IF(D257="","",IFERROR(INDEX(Mentors!$P$2:$P$151,MATCH(D257,Mentors!$A$2:$A$151,0))&amp;"",""))</f>
        <v/>
      </c>
      <c r="H257" s="32" t="n"/>
      <c r="I257" s="32" t="n"/>
      <c r="J257" s="32" t="n"/>
      <c r="K257" s="24">
        <f>IF(B257="","",COUNT(I257:J257))</f>
        <v/>
      </c>
      <c r="L257" s="24" t="n"/>
      <c r="M257" s="24" t="n"/>
      <c r="N257" s="24" t="n"/>
      <c r="O257" s="24" t="n"/>
    </row>
    <row r="258">
      <c r="A258" s="24" t="inlineStr">
        <is>
          <t>M-257</t>
        </is>
      </c>
      <c r="B258" s="24" t="n"/>
      <c r="C258" s="24">
        <f>IF(B258="","",IFERROR(INDEX(Mentees!$D$2:$D$301,MATCH(B258,Mentees!$A$2:$A$301,0)),"ID not found"))</f>
        <v/>
      </c>
      <c r="D258" s="24" t="n"/>
      <c r="E258" s="24">
        <f>IF(D258="","",IFERROR(INDEX(Mentors!$D$2:$D$151,MATCH(D258,Mentors!$A$2:$A$151,0)),"ID not found"))</f>
        <v/>
      </c>
      <c r="F258" s="24">
        <f>IF(D258="","",IFERROR(INDEX(Mentors!$F$2:$F$151,MATCH(D258,Mentors!$A$2:$A$151,0))&amp;"",""))</f>
        <v/>
      </c>
      <c r="G258" s="24">
        <f>IF(D258="","",IFERROR(INDEX(Mentors!$P$2:$P$151,MATCH(D258,Mentors!$A$2:$A$151,0))&amp;"",""))</f>
        <v/>
      </c>
      <c r="H258" s="32" t="n"/>
      <c r="I258" s="32" t="n"/>
      <c r="J258" s="32" t="n"/>
      <c r="K258" s="24">
        <f>IF(B258="","",COUNT(I258:J258))</f>
        <v/>
      </c>
      <c r="L258" s="24" t="n"/>
      <c r="M258" s="24" t="n"/>
      <c r="N258" s="24" t="n"/>
      <c r="O258" s="24" t="n"/>
    </row>
    <row r="259">
      <c r="A259" s="24" t="inlineStr">
        <is>
          <t>M-258</t>
        </is>
      </c>
      <c r="B259" s="24" t="n"/>
      <c r="C259" s="24">
        <f>IF(B259="","",IFERROR(INDEX(Mentees!$D$2:$D$301,MATCH(B259,Mentees!$A$2:$A$301,0)),"ID not found"))</f>
        <v/>
      </c>
      <c r="D259" s="24" t="n"/>
      <c r="E259" s="24">
        <f>IF(D259="","",IFERROR(INDEX(Mentors!$D$2:$D$151,MATCH(D259,Mentors!$A$2:$A$151,0)),"ID not found"))</f>
        <v/>
      </c>
      <c r="F259" s="24">
        <f>IF(D259="","",IFERROR(INDEX(Mentors!$F$2:$F$151,MATCH(D259,Mentors!$A$2:$A$151,0))&amp;"",""))</f>
        <v/>
      </c>
      <c r="G259" s="24">
        <f>IF(D259="","",IFERROR(INDEX(Mentors!$P$2:$P$151,MATCH(D259,Mentors!$A$2:$A$151,0))&amp;"",""))</f>
        <v/>
      </c>
      <c r="H259" s="32" t="n"/>
      <c r="I259" s="32" t="n"/>
      <c r="J259" s="32" t="n"/>
      <c r="K259" s="24">
        <f>IF(B259="","",COUNT(I259:J259))</f>
        <v/>
      </c>
      <c r="L259" s="24" t="n"/>
      <c r="M259" s="24" t="n"/>
      <c r="N259" s="24" t="n"/>
      <c r="O259" s="24" t="n"/>
    </row>
    <row r="260">
      <c r="A260" s="24" t="inlineStr">
        <is>
          <t>M-259</t>
        </is>
      </c>
      <c r="B260" s="24" t="n"/>
      <c r="C260" s="24">
        <f>IF(B260="","",IFERROR(INDEX(Mentees!$D$2:$D$301,MATCH(B260,Mentees!$A$2:$A$301,0)),"ID not found"))</f>
        <v/>
      </c>
      <c r="D260" s="24" t="n"/>
      <c r="E260" s="24">
        <f>IF(D260="","",IFERROR(INDEX(Mentors!$D$2:$D$151,MATCH(D260,Mentors!$A$2:$A$151,0)),"ID not found"))</f>
        <v/>
      </c>
      <c r="F260" s="24">
        <f>IF(D260="","",IFERROR(INDEX(Mentors!$F$2:$F$151,MATCH(D260,Mentors!$A$2:$A$151,0))&amp;"",""))</f>
        <v/>
      </c>
      <c r="G260" s="24">
        <f>IF(D260="","",IFERROR(INDEX(Mentors!$P$2:$P$151,MATCH(D260,Mentors!$A$2:$A$151,0))&amp;"",""))</f>
        <v/>
      </c>
      <c r="H260" s="32" t="n"/>
      <c r="I260" s="32" t="n"/>
      <c r="J260" s="32" t="n"/>
      <c r="K260" s="24">
        <f>IF(B260="","",COUNT(I260:J260))</f>
        <v/>
      </c>
      <c r="L260" s="24" t="n"/>
      <c r="M260" s="24" t="n"/>
      <c r="N260" s="24" t="n"/>
      <c r="O260" s="24" t="n"/>
    </row>
    <row r="261">
      <c r="A261" s="24" t="inlineStr">
        <is>
          <t>M-260</t>
        </is>
      </c>
      <c r="B261" s="24" t="n"/>
      <c r="C261" s="24">
        <f>IF(B261="","",IFERROR(INDEX(Mentees!$D$2:$D$301,MATCH(B261,Mentees!$A$2:$A$301,0)),"ID not found"))</f>
        <v/>
      </c>
      <c r="D261" s="24" t="n"/>
      <c r="E261" s="24">
        <f>IF(D261="","",IFERROR(INDEX(Mentors!$D$2:$D$151,MATCH(D261,Mentors!$A$2:$A$151,0)),"ID not found"))</f>
        <v/>
      </c>
      <c r="F261" s="24">
        <f>IF(D261="","",IFERROR(INDEX(Mentors!$F$2:$F$151,MATCH(D261,Mentors!$A$2:$A$151,0))&amp;"",""))</f>
        <v/>
      </c>
      <c r="G261" s="24">
        <f>IF(D261="","",IFERROR(INDEX(Mentors!$P$2:$P$151,MATCH(D261,Mentors!$A$2:$A$151,0))&amp;"",""))</f>
        <v/>
      </c>
      <c r="H261" s="32" t="n"/>
      <c r="I261" s="32" t="n"/>
      <c r="J261" s="32" t="n"/>
      <c r="K261" s="24">
        <f>IF(B261="","",COUNT(I261:J261))</f>
        <v/>
      </c>
      <c r="L261" s="24" t="n"/>
      <c r="M261" s="24" t="n"/>
      <c r="N261" s="24" t="n"/>
      <c r="O261" s="24" t="n"/>
    </row>
    <row r="262">
      <c r="A262" s="24" t="inlineStr">
        <is>
          <t>M-261</t>
        </is>
      </c>
      <c r="B262" s="24" t="n"/>
      <c r="C262" s="24">
        <f>IF(B262="","",IFERROR(INDEX(Mentees!$D$2:$D$301,MATCH(B262,Mentees!$A$2:$A$301,0)),"ID not found"))</f>
        <v/>
      </c>
      <c r="D262" s="24" t="n"/>
      <c r="E262" s="24">
        <f>IF(D262="","",IFERROR(INDEX(Mentors!$D$2:$D$151,MATCH(D262,Mentors!$A$2:$A$151,0)),"ID not found"))</f>
        <v/>
      </c>
      <c r="F262" s="24">
        <f>IF(D262="","",IFERROR(INDEX(Mentors!$F$2:$F$151,MATCH(D262,Mentors!$A$2:$A$151,0))&amp;"",""))</f>
        <v/>
      </c>
      <c r="G262" s="24">
        <f>IF(D262="","",IFERROR(INDEX(Mentors!$P$2:$P$151,MATCH(D262,Mentors!$A$2:$A$151,0))&amp;"",""))</f>
        <v/>
      </c>
      <c r="H262" s="32" t="n"/>
      <c r="I262" s="32" t="n"/>
      <c r="J262" s="32" t="n"/>
      <c r="K262" s="24">
        <f>IF(B262="","",COUNT(I262:J262))</f>
        <v/>
      </c>
      <c r="L262" s="24" t="n"/>
      <c r="M262" s="24" t="n"/>
      <c r="N262" s="24" t="n"/>
      <c r="O262" s="24" t="n"/>
    </row>
    <row r="263">
      <c r="A263" s="24" t="inlineStr">
        <is>
          <t>M-262</t>
        </is>
      </c>
      <c r="B263" s="24" t="n"/>
      <c r="C263" s="24">
        <f>IF(B263="","",IFERROR(INDEX(Mentees!$D$2:$D$301,MATCH(B263,Mentees!$A$2:$A$301,0)),"ID not found"))</f>
        <v/>
      </c>
      <c r="D263" s="24" t="n"/>
      <c r="E263" s="24">
        <f>IF(D263="","",IFERROR(INDEX(Mentors!$D$2:$D$151,MATCH(D263,Mentors!$A$2:$A$151,0)),"ID not found"))</f>
        <v/>
      </c>
      <c r="F263" s="24">
        <f>IF(D263="","",IFERROR(INDEX(Mentors!$F$2:$F$151,MATCH(D263,Mentors!$A$2:$A$151,0))&amp;"",""))</f>
        <v/>
      </c>
      <c r="G263" s="24">
        <f>IF(D263="","",IFERROR(INDEX(Mentors!$P$2:$P$151,MATCH(D263,Mentors!$A$2:$A$151,0))&amp;"",""))</f>
        <v/>
      </c>
      <c r="H263" s="32" t="n"/>
      <c r="I263" s="32" t="n"/>
      <c r="J263" s="32" t="n"/>
      <c r="K263" s="24">
        <f>IF(B263="","",COUNT(I263:J263))</f>
        <v/>
      </c>
      <c r="L263" s="24" t="n"/>
      <c r="M263" s="24" t="n"/>
      <c r="N263" s="24" t="n"/>
      <c r="O263" s="24" t="n"/>
    </row>
    <row r="264">
      <c r="A264" s="24" t="inlineStr">
        <is>
          <t>M-263</t>
        </is>
      </c>
      <c r="B264" s="24" t="n"/>
      <c r="C264" s="24">
        <f>IF(B264="","",IFERROR(INDEX(Mentees!$D$2:$D$301,MATCH(B264,Mentees!$A$2:$A$301,0)),"ID not found"))</f>
        <v/>
      </c>
      <c r="D264" s="24" t="n"/>
      <c r="E264" s="24">
        <f>IF(D264="","",IFERROR(INDEX(Mentors!$D$2:$D$151,MATCH(D264,Mentors!$A$2:$A$151,0)),"ID not found"))</f>
        <v/>
      </c>
      <c r="F264" s="24">
        <f>IF(D264="","",IFERROR(INDEX(Mentors!$F$2:$F$151,MATCH(D264,Mentors!$A$2:$A$151,0))&amp;"",""))</f>
        <v/>
      </c>
      <c r="G264" s="24">
        <f>IF(D264="","",IFERROR(INDEX(Mentors!$P$2:$P$151,MATCH(D264,Mentors!$A$2:$A$151,0))&amp;"",""))</f>
        <v/>
      </c>
      <c r="H264" s="32" t="n"/>
      <c r="I264" s="32" t="n"/>
      <c r="J264" s="32" t="n"/>
      <c r="K264" s="24">
        <f>IF(B264="","",COUNT(I264:J264))</f>
        <v/>
      </c>
      <c r="L264" s="24" t="n"/>
      <c r="M264" s="24" t="n"/>
      <c r="N264" s="24" t="n"/>
      <c r="O264" s="24" t="n"/>
    </row>
    <row r="265">
      <c r="A265" s="24" t="inlineStr">
        <is>
          <t>M-264</t>
        </is>
      </c>
      <c r="B265" s="24" t="n"/>
      <c r="C265" s="24">
        <f>IF(B265="","",IFERROR(INDEX(Mentees!$D$2:$D$301,MATCH(B265,Mentees!$A$2:$A$301,0)),"ID not found"))</f>
        <v/>
      </c>
      <c r="D265" s="24" t="n"/>
      <c r="E265" s="24">
        <f>IF(D265="","",IFERROR(INDEX(Mentors!$D$2:$D$151,MATCH(D265,Mentors!$A$2:$A$151,0)),"ID not found"))</f>
        <v/>
      </c>
      <c r="F265" s="24">
        <f>IF(D265="","",IFERROR(INDEX(Mentors!$F$2:$F$151,MATCH(D265,Mentors!$A$2:$A$151,0))&amp;"",""))</f>
        <v/>
      </c>
      <c r="G265" s="24">
        <f>IF(D265="","",IFERROR(INDEX(Mentors!$P$2:$P$151,MATCH(D265,Mentors!$A$2:$A$151,0))&amp;"",""))</f>
        <v/>
      </c>
      <c r="H265" s="32" t="n"/>
      <c r="I265" s="32" t="n"/>
      <c r="J265" s="32" t="n"/>
      <c r="K265" s="24">
        <f>IF(B265="","",COUNT(I265:J265))</f>
        <v/>
      </c>
      <c r="L265" s="24" t="n"/>
      <c r="M265" s="24" t="n"/>
      <c r="N265" s="24" t="n"/>
      <c r="O265" s="24" t="n"/>
    </row>
    <row r="266">
      <c r="A266" s="24" t="inlineStr">
        <is>
          <t>M-265</t>
        </is>
      </c>
      <c r="B266" s="24" t="n"/>
      <c r="C266" s="24">
        <f>IF(B266="","",IFERROR(INDEX(Mentees!$D$2:$D$301,MATCH(B266,Mentees!$A$2:$A$301,0)),"ID not found"))</f>
        <v/>
      </c>
      <c r="D266" s="24" t="n"/>
      <c r="E266" s="24">
        <f>IF(D266="","",IFERROR(INDEX(Mentors!$D$2:$D$151,MATCH(D266,Mentors!$A$2:$A$151,0)),"ID not found"))</f>
        <v/>
      </c>
      <c r="F266" s="24">
        <f>IF(D266="","",IFERROR(INDEX(Mentors!$F$2:$F$151,MATCH(D266,Mentors!$A$2:$A$151,0))&amp;"",""))</f>
        <v/>
      </c>
      <c r="G266" s="24">
        <f>IF(D266="","",IFERROR(INDEX(Mentors!$P$2:$P$151,MATCH(D266,Mentors!$A$2:$A$151,0))&amp;"",""))</f>
        <v/>
      </c>
      <c r="H266" s="32" t="n"/>
      <c r="I266" s="32" t="n"/>
      <c r="J266" s="32" t="n"/>
      <c r="K266" s="24">
        <f>IF(B266="","",COUNT(I266:J266))</f>
        <v/>
      </c>
      <c r="L266" s="24" t="n"/>
      <c r="M266" s="24" t="n"/>
      <c r="N266" s="24" t="n"/>
      <c r="O266" s="24" t="n"/>
    </row>
    <row r="267">
      <c r="A267" s="24" t="inlineStr">
        <is>
          <t>M-266</t>
        </is>
      </c>
      <c r="B267" s="24" t="n"/>
      <c r="C267" s="24">
        <f>IF(B267="","",IFERROR(INDEX(Mentees!$D$2:$D$301,MATCH(B267,Mentees!$A$2:$A$301,0)),"ID not found"))</f>
        <v/>
      </c>
      <c r="D267" s="24" t="n"/>
      <c r="E267" s="24">
        <f>IF(D267="","",IFERROR(INDEX(Mentors!$D$2:$D$151,MATCH(D267,Mentors!$A$2:$A$151,0)),"ID not found"))</f>
        <v/>
      </c>
      <c r="F267" s="24">
        <f>IF(D267="","",IFERROR(INDEX(Mentors!$F$2:$F$151,MATCH(D267,Mentors!$A$2:$A$151,0))&amp;"",""))</f>
        <v/>
      </c>
      <c r="G267" s="24">
        <f>IF(D267="","",IFERROR(INDEX(Mentors!$P$2:$P$151,MATCH(D267,Mentors!$A$2:$A$151,0))&amp;"",""))</f>
        <v/>
      </c>
      <c r="H267" s="32" t="n"/>
      <c r="I267" s="32" t="n"/>
      <c r="J267" s="32" t="n"/>
      <c r="K267" s="24">
        <f>IF(B267="","",COUNT(I267:J267))</f>
        <v/>
      </c>
      <c r="L267" s="24" t="n"/>
      <c r="M267" s="24" t="n"/>
      <c r="N267" s="24" t="n"/>
      <c r="O267" s="24" t="n"/>
    </row>
    <row r="268">
      <c r="A268" s="24" t="inlineStr">
        <is>
          <t>M-267</t>
        </is>
      </c>
      <c r="B268" s="24" t="n"/>
      <c r="C268" s="24">
        <f>IF(B268="","",IFERROR(INDEX(Mentees!$D$2:$D$301,MATCH(B268,Mentees!$A$2:$A$301,0)),"ID not found"))</f>
        <v/>
      </c>
      <c r="D268" s="24" t="n"/>
      <c r="E268" s="24">
        <f>IF(D268="","",IFERROR(INDEX(Mentors!$D$2:$D$151,MATCH(D268,Mentors!$A$2:$A$151,0)),"ID not found"))</f>
        <v/>
      </c>
      <c r="F268" s="24">
        <f>IF(D268="","",IFERROR(INDEX(Mentors!$F$2:$F$151,MATCH(D268,Mentors!$A$2:$A$151,0))&amp;"",""))</f>
        <v/>
      </c>
      <c r="G268" s="24">
        <f>IF(D268="","",IFERROR(INDEX(Mentors!$P$2:$P$151,MATCH(D268,Mentors!$A$2:$A$151,0))&amp;"",""))</f>
        <v/>
      </c>
      <c r="H268" s="32" t="n"/>
      <c r="I268" s="32" t="n"/>
      <c r="J268" s="32" t="n"/>
      <c r="K268" s="24">
        <f>IF(B268="","",COUNT(I268:J268))</f>
        <v/>
      </c>
      <c r="L268" s="24" t="n"/>
      <c r="M268" s="24" t="n"/>
      <c r="N268" s="24" t="n"/>
      <c r="O268" s="24" t="n"/>
    </row>
    <row r="269">
      <c r="A269" s="24" t="inlineStr">
        <is>
          <t>M-268</t>
        </is>
      </c>
      <c r="B269" s="24" t="n"/>
      <c r="C269" s="24">
        <f>IF(B269="","",IFERROR(INDEX(Mentees!$D$2:$D$301,MATCH(B269,Mentees!$A$2:$A$301,0)),"ID not found"))</f>
        <v/>
      </c>
      <c r="D269" s="24" t="n"/>
      <c r="E269" s="24">
        <f>IF(D269="","",IFERROR(INDEX(Mentors!$D$2:$D$151,MATCH(D269,Mentors!$A$2:$A$151,0)),"ID not found"))</f>
        <v/>
      </c>
      <c r="F269" s="24">
        <f>IF(D269="","",IFERROR(INDEX(Mentors!$F$2:$F$151,MATCH(D269,Mentors!$A$2:$A$151,0))&amp;"",""))</f>
        <v/>
      </c>
      <c r="G269" s="24">
        <f>IF(D269="","",IFERROR(INDEX(Mentors!$P$2:$P$151,MATCH(D269,Mentors!$A$2:$A$151,0))&amp;"",""))</f>
        <v/>
      </c>
      <c r="H269" s="32" t="n"/>
      <c r="I269" s="32" t="n"/>
      <c r="J269" s="32" t="n"/>
      <c r="K269" s="24">
        <f>IF(B269="","",COUNT(I269:J269))</f>
        <v/>
      </c>
      <c r="L269" s="24" t="n"/>
      <c r="M269" s="24" t="n"/>
      <c r="N269" s="24" t="n"/>
      <c r="O269" s="24" t="n"/>
    </row>
    <row r="270">
      <c r="A270" s="24" t="inlineStr">
        <is>
          <t>M-269</t>
        </is>
      </c>
      <c r="B270" s="24" t="n"/>
      <c r="C270" s="24">
        <f>IF(B270="","",IFERROR(INDEX(Mentees!$D$2:$D$301,MATCH(B270,Mentees!$A$2:$A$301,0)),"ID not found"))</f>
        <v/>
      </c>
      <c r="D270" s="24" t="n"/>
      <c r="E270" s="24">
        <f>IF(D270="","",IFERROR(INDEX(Mentors!$D$2:$D$151,MATCH(D270,Mentors!$A$2:$A$151,0)),"ID not found"))</f>
        <v/>
      </c>
      <c r="F270" s="24">
        <f>IF(D270="","",IFERROR(INDEX(Mentors!$F$2:$F$151,MATCH(D270,Mentors!$A$2:$A$151,0))&amp;"",""))</f>
        <v/>
      </c>
      <c r="G270" s="24">
        <f>IF(D270="","",IFERROR(INDEX(Mentors!$P$2:$P$151,MATCH(D270,Mentors!$A$2:$A$151,0))&amp;"",""))</f>
        <v/>
      </c>
      <c r="H270" s="32" t="n"/>
      <c r="I270" s="32" t="n"/>
      <c r="J270" s="32" t="n"/>
      <c r="K270" s="24">
        <f>IF(B270="","",COUNT(I270:J270))</f>
        <v/>
      </c>
      <c r="L270" s="24" t="n"/>
      <c r="M270" s="24" t="n"/>
      <c r="N270" s="24" t="n"/>
      <c r="O270" s="24" t="n"/>
    </row>
    <row r="271">
      <c r="A271" s="24" t="inlineStr">
        <is>
          <t>M-270</t>
        </is>
      </c>
      <c r="B271" s="24" t="n"/>
      <c r="C271" s="24">
        <f>IF(B271="","",IFERROR(INDEX(Mentees!$D$2:$D$301,MATCH(B271,Mentees!$A$2:$A$301,0)),"ID not found"))</f>
        <v/>
      </c>
      <c r="D271" s="24" t="n"/>
      <c r="E271" s="24">
        <f>IF(D271="","",IFERROR(INDEX(Mentors!$D$2:$D$151,MATCH(D271,Mentors!$A$2:$A$151,0)),"ID not found"))</f>
        <v/>
      </c>
      <c r="F271" s="24">
        <f>IF(D271="","",IFERROR(INDEX(Mentors!$F$2:$F$151,MATCH(D271,Mentors!$A$2:$A$151,0))&amp;"",""))</f>
        <v/>
      </c>
      <c r="G271" s="24">
        <f>IF(D271="","",IFERROR(INDEX(Mentors!$P$2:$P$151,MATCH(D271,Mentors!$A$2:$A$151,0))&amp;"",""))</f>
        <v/>
      </c>
      <c r="H271" s="32" t="n"/>
      <c r="I271" s="32" t="n"/>
      <c r="J271" s="32" t="n"/>
      <c r="K271" s="24">
        <f>IF(B271="","",COUNT(I271:J271))</f>
        <v/>
      </c>
      <c r="L271" s="24" t="n"/>
      <c r="M271" s="24" t="n"/>
      <c r="N271" s="24" t="n"/>
      <c r="O271" s="24" t="n"/>
    </row>
    <row r="272">
      <c r="A272" s="24" t="inlineStr">
        <is>
          <t>M-271</t>
        </is>
      </c>
      <c r="B272" s="24" t="n"/>
      <c r="C272" s="24">
        <f>IF(B272="","",IFERROR(INDEX(Mentees!$D$2:$D$301,MATCH(B272,Mentees!$A$2:$A$301,0)),"ID not found"))</f>
        <v/>
      </c>
      <c r="D272" s="24" t="n"/>
      <c r="E272" s="24">
        <f>IF(D272="","",IFERROR(INDEX(Mentors!$D$2:$D$151,MATCH(D272,Mentors!$A$2:$A$151,0)),"ID not found"))</f>
        <v/>
      </c>
      <c r="F272" s="24">
        <f>IF(D272="","",IFERROR(INDEX(Mentors!$F$2:$F$151,MATCH(D272,Mentors!$A$2:$A$151,0))&amp;"",""))</f>
        <v/>
      </c>
      <c r="G272" s="24">
        <f>IF(D272="","",IFERROR(INDEX(Mentors!$P$2:$P$151,MATCH(D272,Mentors!$A$2:$A$151,0))&amp;"",""))</f>
        <v/>
      </c>
      <c r="H272" s="32" t="n"/>
      <c r="I272" s="32" t="n"/>
      <c r="J272" s="32" t="n"/>
      <c r="K272" s="24">
        <f>IF(B272="","",COUNT(I272:J272))</f>
        <v/>
      </c>
      <c r="L272" s="24" t="n"/>
      <c r="M272" s="24" t="n"/>
      <c r="N272" s="24" t="n"/>
      <c r="O272" s="24" t="n"/>
    </row>
    <row r="273">
      <c r="A273" s="24" t="inlineStr">
        <is>
          <t>M-272</t>
        </is>
      </c>
      <c r="B273" s="24" t="n"/>
      <c r="C273" s="24">
        <f>IF(B273="","",IFERROR(INDEX(Mentees!$D$2:$D$301,MATCH(B273,Mentees!$A$2:$A$301,0)),"ID not found"))</f>
        <v/>
      </c>
      <c r="D273" s="24" t="n"/>
      <c r="E273" s="24">
        <f>IF(D273="","",IFERROR(INDEX(Mentors!$D$2:$D$151,MATCH(D273,Mentors!$A$2:$A$151,0)),"ID not found"))</f>
        <v/>
      </c>
      <c r="F273" s="24">
        <f>IF(D273="","",IFERROR(INDEX(Mentors!$F$2:$F$151,MATCH(D273,Mentors!$A$2:$A$151,0))&amp;"",""))</f>
        <v/>
      </c>
      <c r="G273" s="24">
        <f>IF(D273="","",IFERROR(INDEX(Mentors!$P$2:$P$151,MATCH(D273,Mentors!$A$2:$A$151,0))&amp;"",""))</f>
        <v/>
      </c>
      <c r="H273" s="32" t="n"/>
      <c r="I273" s="32" t="n"/>
      <c r="J273" s="32" t="n"/>
      <c r="K273" s="24">
        <f>IF(B273="","",COUNT(I273:J273))</f>
        <v/>
      </c>
      <c r="L273" s="24" t="n"/>
      <c r="M273" s="24" t="n"/>
      <c r="N273" s="24" t="n"/>
      <c r="O273" s="24" t="n"/>
    </row>
    <row r="274">
      <c r="A274" s="24" t="inlineStr">
        <is>
          <t>M-273</t>
        </is>
      </c>
      <c r="B274" s="24" t="n"/>
      <c r="C274" s="24">
        <f>IF(B274="","",IFERROR(INDEX(Mentees!$D$2:$D$301,MATCH(B274,Mentees!$A$2:$A$301,0)),"ID not found"))</f>
        <v/>
      </c>
      <c r="D274" s="24" t="n"/>
      <c r="E274" s="24">
        <f>IF(D274="","",IFERROR(INDEX(Mentors!$D$2:$D$151,MATCH(D274,Mentors!$A$2:$A$151,0)),"ID not found"))</f>
        <v/>
      </c>
      <c r="F274" s="24">
        <f>IF(D274="","",IFERROR(INDEX(Mentors!$F$2:$F$151,MATCH(D274,Mentors!$A$2:$A$151,0))&amp;"",""))</f>
        <v/>
      </c>
      <c r="G274" s="24">
        <f>IF(D274="","",IFERROR(INDEX(Mentors!$P$2:$P$151,MATCH(D274,Mentors!$A$2:$A$151,0))&amp;"",""))</f>
        <v/>
      </c>
      <c r="H274" s="32" t="n"/>
      <c r="I274" s="32" t="n"/>
      <c r="J274" s="32" t="n"/>
      <c r="K274" s="24">
        <f>IF(B274="","",COUNT(I274:J274))</f>
        <v/>
      </c>
      <c r="L274" s="24" t="n"/>
      <c r="M274" s="24" t="n"/>
      <c r="N274" s="24" t="n"/>
      <c r="O274" s="24" t="n"/>
    </row>
    <row r="275">
      <c r="A275" s="24" t="inlineStr">
        <is>
          <t>M-274</t>
        </is>
      </c>
      <c r="B275" s="24" t="n"/>
      <c r="C275" s="24">
        <f>IF(B275="","",IFERROR(INDEX(Mentees!$D$2:$D$301,MATCH(B275,Mentees!$A$2:$A$301,0)),"ID not found"))</f>
        <v/>
      </c>
      <c r="D275" s="24" t="n"/>
      <c r="E275" s="24">
        <f>IF(D275="","",IFERROR(INDEX(Mentors!$D$2:$D$151,MATCH(D275,Mentors!$A$2:$A$151,0)),"ID not found"))</f>
        <v/>
      </c>
      <c r="F275" s="24">
        <f>IF(D275="","",IFERROR(INDEX(Mentors!$F$2:$F$151,MATCH(D275,Mentors!$A$2:$A$151,0))&amp;"",""))</f>
        <v/>
      </c>
      <c r="G275" s="24">
        <f>IF(D275="","",IFERROR(INDEX(Mentors!$P$2:$P$151,MATCH(D275,Mentors!$A$2:$A$151,0))&amp;"",""))</f>
        <v/>
      </c>
      <c r="H275" s="32" t="n"/>
      <c r="I275" s="32" t="n"/>
      <c r="J275" s="32" t="n"/>
      <c r="K275" s="24">
        <f>IF(B275="","",COUNT(I275:J275))</f>
        <v/>
      </c>
      <c r="L275" s="24" t="n"/>
      <c r="M275" s="24" t="n"/>
      <c r="N275" s="24" t="n"/>
      <c r="O275" s="24" t="n"/>
    </row>
    <row r="276">
      <c r="A276" s="24" t="inlineStr">
        <is>
          <t>M-275</t>
        </is>
      </c>
      <c r="B276" s="24" t="n"/>
      <c r="C276" s="24">
        <f>IF(B276="","",IFERROR(INDEX(Mentees!$D$2:$D$301,MATCH(B276,Mentees!$A$2:$A$301,0)),"ID not found"))</f>
        <v/>
      </c>
      <c r="D276" s="24" t="n"/>
      <c r="E276" s="24">
        <f>IF(D276="","",IFERROR(INDEX(Mentors!$D$2:$D$151,MATCH(D276,Mentors!$A$2:$A$151,0)),"ID not found"))</f>
        <v/>
      </c>
      <c r="F276" s="24">
        <f>IF(D276="","",IFERROR(INDEX(Mentors!$F$2:$F$151,MATCH(D276,Mentors!$A$2:$A$151,0))&amp;"",""))</f>
        <v/>
      </c>
      <c r="G276" s="24">
        <f>IF(D276="","",IFERROR(INDEX(Mentors!$P$2:$P$151,MATCH(D276,Mentors!$A$2:$A$151,0))&amp;"",""))</f>
        <v/>
      </c>
      <c r="H276" s="32" t="n"/>
      <c r="I276" s="32" t="n"/>
      <c r="J276" s="32" t="n"/>
      <c r="K276" s="24">
        <f>IF(B276="","",COUNT(I276:J276))</f>
        <v/>
      </c>
      <c r="L276" s="24" t="n"/>
      <c r="M276" s="24" t="n"/>
      <c r="N276" s="24" t="n"/>
      <c r="O276" s="24" t="n"/>
    </row>
    <row r="277">
      <c r="A277" s="24" t="inlineStr">
        <is>
          <t>M-276</t>
        </is>
      </c>
      <c r="B277" s="24" t="n"/>
      <c r="C277" s="24">
        <f>IF(B277="","",IFERROR(INDEX(Mentees!$D$2:$D$301,MATCH(B277,Mentees!$A$2:$A$301,0)),"ID not found"))</f>
        <v/>
      </c>
      <c r="D277" s="24" t="n"/>
      <c r="E277" s="24">
        <f>IF(D277="","",IFERROR(INDEX(Mentors!$D$2:$D$151,MATCH(D277,Mentors!$A$2:$A$151,0)),"ID not found"))</f>
        <v/>
      </c>
      <c r="F277" s="24">
        <f>IF(D277="","",IFERROR(INDEX(Mentors!$F$2:$F$151,MATCH(D277,Mentors!$A$2:$A$151,0))&amp;"",""))</f>
        <v/>
      </c>
      <c r="G277" s="24">
        <f>IF(D277="","",IFERROR(INDEX(Mentors!$P$2:$P$151,MATCH(D277,Mentors!$A$2:$A$151,0))&amp;"",""))</f>
        <v/>
      </c>
      <c r="H277" s="32" t="n"/>
      <c r="I277" s="32" t="n"/>
      <c r="J277" s="32" t="n"/>
      <c r="K277" s="24">
        <f>IF(B277="","",COUNT(I277:J277))</f>
        <v/>
      </c>
      <c r="L277" s="24" t="n"/>
      <c r="M277" s="24" t="n"/>
      <c r="N277" s="24" t="n"/>
      <c r="O277" s="24" t="n"/>
    </row>
    <row r="278">
      <c r="A278" s="24" t="inlineStr">
        <is>
          <t>M-277</t>
        </is>
      </c>
      <c r="B278" s="24" t="n"/>
      <c r="C278" s="24">
        <f>IF(B278="","",IFERROR(INDEX(Mentees!$D$2:$D$301,MATCH(B278,Mentees!$A$2:$A$301,0)),"ID not found"))</f>
        <v/>
      </c>
      <c r="D278" s="24" t="n"/>
      <c r="E278" s="24">
        <f>IF(D278="","",IFERROR(INDEX(Mentors!$D$2:$D$151,MATCH(D278,Mentors!$A$2:$A$151,0)),"ID not found"))</f>
        <v/>
      </c>
      <c r="F278" s="24">
        <f>IF(D278="","",IFERROR(INDEX(Mentors!$F$2:$F$151,MATCH(D278,Mentors!$A$2:$A$151,0))&amp;"",""))</f>
        <v/>
      </c>
      <c r="G278" s="24">
        <f>IF(D278="","",IFERROR(INDEX(Mentors!$P$2:$P$151,MATCH(D278,Mentors!$A$2:$A$151,0))&amp;"",""))</f>
        <v/>
      </c>
      <c r="H278" s="32" t="n"/>
      <c r="I278" s="32" t="n"/>
      <c r="J278" s="32" t="n"/>
      <c r="K278" s="24">
        <f>IF(B278="","",COUNT(I278:J278))</f>
        <v/>
      </c>
      <c r="L278" s="24" t="n"/>
      <c r="M278" s="24" t="n"/>
      <c r="N278" s="24" t="n"/>
      <c r="O278" s="24" t="n"/>
    </row>
    <row r="279">
      <c r="A279" s="24" t="inlineStr">
        <is>
          <t>M-278</t>
        </is>
      </c>
      <c r="B279" s="24" t="n"/>
      <c r="C279" s="24">
        <f>IF(B279="","",IFERROR(INDEX(Mentees!$D$2:$D$301,MATCH(B279,Mentees!$A$2:$A$301,0)),"ID not found"))</f>
        <v/>
      </c>
      <c r="D279" s="24" t="n"/>
      <c r="E279" s="24">
        <f>IF(D279="","",IFERROR(INDEX(Mentors!$D$2:$D$151,MATCH(D279,Mentors!$A$2:$A$151,0)),"ID not found"))</f>
        <v/>
      </c>
      <c r="F279" s="24">
        <f>IF(D279="","",IFERROR(INDEX(Mentors!$F$2:$F$151,MATCH(D279,Mentors!$A$2:$A$151,0))&amp;"",""))</f>
        <v/>
      </c>
      <c r="G279" s="24">
        <f>IF(D279="","",IFERROR(INDEX(Mentors!$P$2:$P$151,MATCH(D279,Mentors!$A$2:$A$151,0))&amp;"",""))</f>
        <v/>
      </c>
      <c r="H279" s="32" t="n"/>
      <c r="I279" s="32" t="n"/>
      <c r="J279" s="32" t="n"/>
      <c r="K279" s="24">
        <f>IF(B279="","",COUNT(I279:J279))</f>
        <v/>
      </c>
      <c r="L279" s="24" t="n"/>
      <c r="M279" s="24" t="n"/>
      <c r="N279" s="24" t="n"/>
      <c r="O279" s="24" t="n"/>
    </row>
    <row r="280">
      <c r="A280" s="24" t="inlineStr">
        <is>
          <t>M-279</t>
        </is>
      </c>
      <c r="B280" s="24" t="n"/>
      <c r="C280" s="24">
        <f>IF(B280="","",IFERROR(INDEX(Mentees!$D$2:$D$301,MATCH(B280,Mentees!$A$2:$A$301,0)),"ID not found"))</f>
        <v/>
      </c>
      <c r="D280" s="24" t="n"/>
      <c r="E280" s="24">
        <f>IF(D280="","",IFERROR(INDEX(Mentors!$D$2:$D$151,MATCH(D280,Mentors!$A$2:$A$151,0)),"ID not found"))</f>
        <v/>
      </c>
      <c r="F280" s="24">
        <f>IF(D280="","",IFERROR(INDEX(Mentors!$F$2:$F$151,MATCH(D280,Mentors!$A$2:$A$151,0))&amp;"",""))</f>
        <v/>
      </c>
      <c r="G280" s="24">
        <f>IF(D280="","",IFERROR(INDEX(Mentors!$P$2:$P$151,MATCH(D280,Mentors!$A$2:$A$151,0))&amp;"",""))</f>
        <v/>
      </c>
      <c r="H280" s="32" t="n"/>
      <c r="I280" s="32" t="n"/>
      <c r="J280" s="32" t="n"/>
      <c r="K280" s="24">
        <f>IF(B280="","",COUNT(I280:J280))</f>
        <v/>
      </c>
      <c r="L280" s="24" t="n"/>
      <c r="M280" s="24" t="n"/>
      <c r="N280" s="24" t="n"/>
      <c r="O280" s="24" t="n"/>
    </row>
    <row r="281">
      <c r="A281" s="24" t="inlineStr">
        <is>
          <t>M-280</t>
        </is>
      </c>
      <c r="B281" s="24" t="n"/>
      <c r="C281" s="24">
        <f>IF(B281="","",IFERROR(INDEX(Mentees!$D$2:$D$301,MATCH(B281,Mentees!$A$2:$A$301,0)),"ID not found"))</f>
        <v/>
      </c>
      <c r="D281" s="24" t="n"/>
      <c r="E281" s="24">
        <f>IF(D281="","",IFERROR(INDEX(Mentors!$D$2:$D$151,MATCH(D281,Mentors!$A$2:$A$151,0)),"ID not found"))</f>
        <v/>
      </c>
      <c r="F281" s="24">
        <f>IF(D281="","",IFERROR(INDEX(Mentors!$F$2:$F$151,MATCH(D281,Mentors!$A$2:$A$151,0))&amp;"",""))</f>
        <v/>
      </c>
      <c r="G281" s="24">
        <f>IF(D281="","",IFERROR(INDEX(Mentors!$P$2:$P$151,MATCH(D281,Mentors!$A$2:$A$151,0))&amp;"",""))</f>
        <v/>
      </c>
      <c r="H281" s="32" t="n"/>
      <c r="I281" s="32" t="n"/>
      <c r="J281" s="32" t="n"/>
      <c r="K281" s="24">
        <f>IF(B281="","",COUNT(I281:J281))</f>
        <v/>
      </c>
      <c r="L281" s="24" t="n"/>
      <c r="M281" s="24" t="n"/>
      <c r="N281" s="24" t="n"/>
      <c r="O281" s="24" t="n"/>
    </row>
    <row r="282">
      <c r="A282" s="24" t="inlineStr">
        <is>
          <t>M-281</t>
        </is>
      </c>
      <c r="B282" s="24" t="n"/>
      <c r="C282" s="24">
        <f>IF(B282="","",IFERROR(INDEX(Mentees!$D$2:$D$301,MATCH(B282,Mentees!$A$2:$A$301,0)),"ID not found"))</f>
        <v/>
      </c>
      <c r="D282" s="24" t="n"/>
      <c r="E282" s="24">
        <f>IF(D282="","",IFERROR(INDEX(Mentors!$D$2:$D$151,MATCH(D282,Mentors!$A$2:$A$151,0)),"ID not found"))</f>
        <v/>
      </c>
      <c r="F282" s="24">
        <f>IF(D282="","",IFERROR(INDEX(Mentors!$F$2:$F$151,MATCH(D282,Mentors!$A$2:$A$151,0))&amp;"",""))</f>
        <v/>
      </c>
      <c r="G282" s="24">
        <f>IF(D282="","",IFERROR(INDEX(Mentors!$P$2:$P$151,MATCH(D282,Mentors!$A$2:$A$151,0))&amp;"",""))</f>
        <v/>
      </c>
      <c r="H282" s="32" t="n"/>
      <c r="I282" s="32" t="n"/>
      <c r="J282" s="32" t="n"/>
      <c r="K282" s="24">
        <f>IF(B282="","",COUNT(I282:J282))</f>
        <v/>
      </c>
      <c r="L282" s="24" t="n"/>
      <c r="M282" s="24" t="n"/>
      <c r="N282" s="24" t="n"/>
      <c r="O282" s="24" t="n"/>
    </row>
    <row r="283">
      <c r="A283" s="24" t="inlineStr">
        <is>
          <t>M-282</t>
        </is>
      </c>
      <c r="B283" s="24" t="n"/>
      <c r="C283" s="24">
        <f>IF(B283="","",IFERROR(INDEX(Mentees!$D$2:$D$301,MATCH(B283,Mentees!$A$2:$A$301,0)),"ID not found"))</f>
        <v/>
      </c>
      <c r="D283" s="24" t="n"/>
      <c r="E283" s="24">
        <f>IF(D283="","",IFERROR(INDEX(Mentors!$D$2:$D$151,MATCH(D283,Mentors!$A$2:$A$151,0)),"ID not found"))</f>
        <v/>
      </c>
      <c r="F283" s="24">
        <f>IF(D283="","",IFERROR(INDEX(Mentors!$F$2:$F$151,MATCH(D283,Mentors!$A$2:$A$151,0))&amp;"",""))</f>
        <v/>
      </c>
      <c r="G283" s="24">
        <f>IF(D283="","",IFERROR(INDEX(Mentors!$P$2:$P$151,MATCH(D283,Mentors!$A$2:$A$151,0))&amp;"",""))</f>
        <v/>
      </c>
      <c r="H283" s="32" t="n"/>
      <c r="I283" s="32" t="n"/>
      <c r="J283" s="32" t="n"/>
      <c r="K283" s="24">
        <f>IF(B283="","",COUNT(I283:J283))</f>
        <v/>
      </c>
      <c r="L283" s="24" t="n"/>
      <c r="M283" s="24" t="n"/>
      <c r="N283" s="24" t="n"/>
      <c r="O283" s="24" t="n"/>
    </row>
    <row r="284">
      <c r="A284" s="24" t="inlineStr">
        <is>
          <t>M-283</t>
        </is>
      </c>
      <c r="B284" s="24" t="n"/>
      <c r="C284" s="24">
        <f>IF(B284="","",IFERROR(INDEX(Mentees!$D$2:$D$301,MATCH(B284,Mentees!$A$2:$A$301,0)),"ID not found"))</f>
        <v/>
      </c>
      <c r="D284" s="24" t="n"/>
      <c r="E284" s="24">
        <f>IF(D284="","",IFERROR(INDEX(Mentors!$D$2:$D$151,MATCH(D284,Mentors!$A$2:$A$151,0)),"ID not found"))</f>
        <v/>
      </c>
      <c r="F284" s="24">
        <f>IF(D284="","",IFERROR(INDEX(Mentors!$F$2:$F$151,MATCH(D284,Mentors!$A$2:$A$151,0))&amp;"",""))</f>
        <v/>
      </c>
      <c r="G284" s="24">
        <f>IF(D284="","",IFERROR(INDEX(Mentors!$P$2:$P$151,MATCH(D284,Mentors!$A$2:$A$151,0))&amp;"",""))</f>
        <v/>
      </c>
      <c r="H284" s="32" t="n"/>
      <c r="I284" s="32" t="n"/>
      <c r="J284" s="32" t="n"/>
      <c r="K284" s="24">
        <f>IF(B284="","",COUNT(I284:J284))</f>
        <v/>
      </c>
      <c r="L284" s="24" t="n"/>
      <c r="M284" s="24" t="n"/>
      <c r="N284" s="24" t="n"/>
      <c r="O284" s="24" t="n"/>
    </row>
    <row r="285">
      <c r="A285" s="24" t="inlineStr">
        <is>
          <t>M-284</t>
        </is>
      </c>
      <c r="B285" s="24" t="n"/>
      <c r="C285" s="24">
        <f>IF(B285="","",IFERROR(INDEX(Mentees!$D$2:$D$301,MATCH(B285,Mentees!$A$2:$A$301,0)),"ID not found"))</f>
        <v/>
      </c>
      <c r="D285" s="24" t="n"/>
      <c r="E285" s="24">
        <f>IF(D285="","",IFERROR(INDEX(Mentors!$D$2:$D$151,MATCH(D285,Mentors!$A$2:$A$151,0)),"ID not found"))</f>
        <v/>
      </c>
      <c r="F285" s="24">
        <f>IF(D285="","",IFERROR(INDEX(Mentors!$F$2:$F$151,MATCH(D285,Mentors!$A$2:$A$151,0))&amp;"",""))</f>
        <v/>
      </c>
      <c r="G285" s="24">
        <f>IF(D285="","",IFERROR(INDEX(Mentors!$P$2:$P$151,MATCH(D285,Mentors!$A$2:$A$151,0))&amp;"",""))</f>
        <v/>
      </c>
      <c r="H285" s="32" t="n"/>
      <c r="I285" s="32" t="n"/>
      <c r="J285" s="32" t="n"/>
      <c r="K285" s="24">
        <f>IF(B285="","",COUNT(I285:J285))</f>
        <v/>
      </c>
      <c r="L285" s="24" t="n"/>
      <c r="M285" s="24" t="n"/>
      <c r="N285" s="24" t="n"/>
      <c r="O285" s="24" t="n"/>
    </row>
    <row r="286">
      <c r="A286" s="24" t="inlineStr">
        <is>
          <t>M-285</t>
        </is>
      </c>
      <c r="B286" s="24" t="n"/>
      <c r="C286" s="24">
        <f>IF(B286="","",IFERROR(INDEX(Mentees!$D$2:$D$301,MATCH(B286,Mentees!$A$2:$A$301,0)),"ID not found"))</f>
        <v/>
      </c>
      <c r="D286" s="24" t="n"/>
      <c r="E286" s="24">
        <f>IF(D286="","",IFERROR(INDEX(Mentors!$D$2:$D$151,MATCH(D286,Mentors!$A$2:$A$151,0)),"ID not found"))</f>
        <v/>
      </c>
      <c r="F286" s="24">
        <f>IF(D286="","",IFERROR(INDEX(Mentors!$F$2:$F$151,MATCH(D286,Mentors!$A$2:$A$151,0))&amp;"",""))</f>
        <v/>
      </c>
      <c r="G286" s="24">
        <f>IF(D286="","",IFERROR(INDEX(Mentors!$P$2:$P$151,MATCH(D286,Mentors!$A$2:$A$151,0))&amp;"",""))</f>
        <v/>
      </c>
      <c r="H286" s="32" t="n"/>
      <c r="I286" s="32" t="n"/>
      <c r="J286" s="32" t="n"/>
      <c r="K286" s="24">
        <f>IF(B286="","",COUNT(I286:J286))</f>
        <v/>
      </c>
      <c r="L286" s="24" t="n"/>
      <c r="M286" s="24" t="n"/>
      <c r="N286" s="24" t="n"/>
      <c r="O286" s="24" t="n"/>
    </row>
    <row r="287">
      <c r="A287" s="24" t="inlineStr">
        <is>
          <t>M-286</t>
        </is>
      </c>
      <c r="B287" s="24" t="n"/>
      <c r="C287" s="24">
        <f>IF(B287="","",IFERROR(INDEX(Mentees!$D$2:$D$301,MATCH(B287,Mentees!$A$2:$A$301,0)),"ID not found"))</f>
        <v/>
      </c>
      <c r="D287" s="24" t="n"/>
      <c r="E287" s="24">
        <f>IF(D287="","",IFERROR(INDEX(Mentors!$D$2:$D$151,MATCH(D287,Mentors!$A$2:$A$151,0)),"ID not found"))</f>
        <v/>
      </c>
      <c r="F287" s="24">
        <f>IF(D287="","",IFERROR(INDEX(Mentors!$F$2:$F$151,MATCH(D287,Mentors!$A$2:$A$151,0))&amp;"",""))</f>
        <v/>
      </c>
      <c r="G287" s="24">
        <f>IF(D287="","",IFERROR(INDEX(Mentors!$P$2:$P$151,MATCH(D287,Mentors!$A$2:$A$151,0))&amp;"",""))</f>
        <v/>
      </c>
      <c r="H287" s="32" t="n"/>
      <c r="I287" s="32" t="n"/>
      <c r="J287" s="32" t="n"/>
      <c r="K287" s="24">
        <f>IF(B287="","",COUNT(I287:J287))</f>
        <v/>
      </c>
      <c r="L287" s="24" t="n"/>
      <c r="M287" s="24" t="n"/>
      <c r="N287" s="24" t="n"/>
      <c r="O287" s="24" t="n"/>
    </row>
    <row r="288">
      <c r="A288" s="24" t="inlineStr">
        <is>
          <t>M-287</t>
        </is>
      </c>
      <c r="B288" s="24" t="n"/>
      <c r="C288" s="24">
        <f>IF(B288="","",IFERROR(INDEX(Mentees!$D$2:$D$301,MATCH(B288,Mentees!$A$2:$A$301,0)),"ID not found"))</f>
        <v/>
      </c>
      <c r="D288" s="24" t="n"/>
      <c r="E288" s="24">
        <f>IF(D288="","",IFERROR(INDEX(Mentors!$D$2:$D$151,MATCH(D288,Mentors!$A$2:$A$151,0)),"ID not found"))</f>
        <v/>
      </c>
      <c r="F288" s="24">
        <f>IF(D288="","",IFERROR(INDEX(Mentors!$F$2:$F$151,MATCH(D288,Mentors!$A$2:$A$151,0))&amp;"",""))</f>
        <v/>
      </c>
      <c r="G288" s="24">
        <f>IF(D288="","",IFERROR(INDEX(Mentors!$P$2:$P$151,MATCH(D288,Mentors!$A$2:$A$151,0))&amp;"",""))</f>
        <v/>
      </c>
      <c r="H288" s="32" t="n"/>
      <c r="I288" s="32" t="n"/>
      <c r="J288" s="32" t="n"/>
      <c r="K288" s="24">
        <f>IF(B288="","",COUNT(I288:J288))</f>
        <v/>
      </c>
      <c r="L288" s="24" t="n"/>
      <c r="M288" s="24" t="n"/>
      <c r="N288" s="24" t="n"/>
      <c r="O288" s="24" t="n"/>
    </row>
    <row r="289">
      <c r="A289" s="24" t="inlineStr">
        <is>
          <t>M-288</t>
        </is>
      </c>
      <c r="B289" s="24" t="n"/>
      <c r="C289" s="24">
        <f>IF(B289="","",IFERROR(INDEX(Mentees!$D$2:$D$301,MATCH(B289,Mentees!$A$2:$A$301,0)),"ID not found"))</f>
        <v/>
      </c>
      <c r="D289" s="24" t="n"/>
      <c r="E289" s="24">
        <f>IF(D289="","",IFERROR(INDEX(Mentors!$D$2:$D$151,MATCH(D289,Mentors!$A$2:$A$151,0)),"ID not found"))</f>
        <v/>
      </c>
      <c r="F289" s="24">
        <f>IF(D289="","",IFERROR(INDEX(Mentors!$F$2:$F$151,MATCH(D289,Mentors!$A$2:$A$151,0))&amp;"",""))</f>
        <v/>
      </c>
      <c r="G289" s="24">
        <f>IF(D289="","",IFERROR(INDEX(Mentors!$P$2:$P$151,MATCH(D289,Mentors!$A$2:$A$151,0))&amp;"",""))</f>
        <v/>
      </c>
      <c r="H289" s="32" t="n"/>
      <c r="I289" s="32" t="n"/>
      <c r="J289" s="32" t="n"/>
      <c r="K289" s="24">
        <f>IF(B289="","",COUNT(I289:J289))</f>
        <v/>
      </c>
      <c r="L289" s="24" t="n"/>
      <c r="M289" s="24" t="n"/>
      <c r="N289" s="24" t="n"/>
      <c r="O289" s="24" t="n"/>
    </row>
    <row r="290">
      <c r="A290" s="24" t="inlineStr">
        <is>
          <t>M-289</t>
        </is>
      </c>
      <c r="B290" s="24" t="n"/>
      <c r="C290" s="24">
        <f>IF(B290="","",IFERROR(INDEX(Mentees!$D$2:$D$301,MATCH(B290,Mentees!$A$2:$A$301,0)),"ID not found"))</f>
        <v/>
      </c>
      <c r="D290" s="24" t="n"/>
      <c r="E290" s="24">
        <f>IF(D290="","",IFERROR(INDEX(Mentors!$D$2:$D$151,MATCH(D290,Mentors!$A$2:$A$151,0)),"ID not found"))</f>
        <v/>
      </c>
      <c r="F290" s="24">
        <f>IF(D290="","",IFERROR(INDEX(Mentors!$F$2:$F$151,MATCH(D290,Mentors!$A$2:$A$151,0))&amp;"",""))</f>
        <v/>
      </c>
      <c r="G290" s="24">
        <f>IF(D290="","",IFERROR(INDEX(Mentors!$P$2:$P$151,MATCH(D290,Mentors!$A$2:$A$151,0))&amp;"",""))</f>
        <v/>
      </c>
      <c r="H290" s="32" t="n"/>
      <c r="I290" s="32" t="n"/>
      <c r="J290" s="32" t="n"/>
      <c r="K290" s="24">
        <f>IF(B290="","",COUNT(I290:J290))</f>
        <v/>
      </c>
      <c r="L290" s="24" t="n"/>
      <c r="M290" s="24" t="n"/>
      <c r="N290" s="24" t="n"/>
      <c r="O290" s="24" t="n"/>
    </row>
    <row r="291">
      <c r="A291" s="24" t="inlineStr">
        <is>
          <t>M-290</t>
        </is>
      </c>
      <c r="B291" s="24" t="n"/>
      <c r="C291" s="24">
        <f>IF(B291="","",IFERROR(INDEX(Mentees!$D$2:$D$301,MATCH(B291,Mentees!$A$2:$A$301,0)),"ID not found"))</f>
        <v/>
      </c>
      <c r="D291" s="24" t="n"/>
      <c r="E291" s="24">
        <f>IF(D291="","",IFERROR(INDEX(Mentors!$D$2:$D$151,MATCH(D291,Mentors!$A$2:$A$151,0)),"ID not found"))</f>
        <v/>
      </c>
      <c r="F291" s="24">
        <f>IF(D291="","",IFERROR(INDEX(Mentors!$F$2:$F$151,MATCH(D291,Mentors!$A$2:$A$151,0))&amp;"",""))</f>
        <v/>
      </c>
      <c r="G291" s="24">
        <f>IF(D291="","",IFERROR(INDEX(Mentors!$P$2:$P$151,MATCH(D291,Mentors!$A$2:$A$151,0))&amp;"",""))</f>
        <v/>
      </c>
      <c r="H291" s="32" t="n"/>
      <c r="I291" s="32" t="n"/>
      <c r="J291" s="32" t="n"/>
      <c r="K291" s="24">
        <f>IF(B291="","",COUNT(I291:J291))</f>
        <v/>
      </c>
      <c r="L291" s="24" t="n"/>
      <c r="M291" s="24" t="n"/>
      <c r="N291" s="24" t="n"/>
      <c r="O291" s="24" t="n"/>
    </row>
    <row r="292">
      <c r="A292" s="24" t="inlineStr">
        <is>
          <t>M-291</t>
        </is>
      </c>
      <c r="B292" s="24" t="n"/>
      <c r="C292" s="24">
        <f>IF(B292="","",IFERROR(INDEX(Mentees!$D$2:$D$301,MATCH(B292,Mentees!$A$2:$A$301,0)),"ID not found"))</f>
        <v/>
      </c>
      <c r="D292" s="24" t="n"/>
      <c r="E292" s="24">
        <f>IF(D292="","",IFERROR(INDEX(Mentors!$D$2:$D$151,MATCH(D292,Mentors!$A$2:$A$151,0)),"ID not found"))</f>
        <v/>
      </c>
      <c r="F292" s="24">
        <f>IF(D292="","",IFERROR(INDEX(Mentors!$F$2:$F$151,MATCH(D292,Mentors!$A$2:$A$151,0))&amp;"",""))</f>
        <v/>
      </c>
      <c r="G292" s="24">
        <f>IF(D292="","",IFERROR(INDEX(Mentors!$P$2:$P$151,MATCH(D292,Mentors!$A$2:$A$151,0))&amp;"",""))</f>
        <v/>
      </c>
      <c r="H292" s="32" t="n"/>
      <c r="I292" s="32" t="n"/>
      <c r="J292" s="32" t="n"/>
      <c r="K292" s="24">
        <f>IF(B292="","",COUNT(I292:J292))</f>
        <v/>
      </c>
      <c r="L292" s="24" t="n"/>
      <c r="M292" s="24" t="n"/>
      <c r="N292" s="24" t="n"/>
      <c r="O292" s="24" t="n"/>
    </row>
    <row r="293">
      <c r="A293" s="24" t="inlineStr">
        <is>
          <t>M-292</t>
        </is>
      </c>
      <c r="B293" s="24" t="n"/>
      <c r="C293" s="24">
        <f>IF(B293="","",IFERROR(INDEX(Mentees!$D$2:$D$301,MATCH(B293,Mentees!$A$2:$A$301,0)),"ID not found"))</f>
        <v/>
      </c>
      <c r="D293" s="24" t="n"/>
      <c r="E293" s="24">
        <f>IF(D293="","",IFERROR(INDEX(Mentors!$D$2:$D$151,MATCH(D293,Mentors!$A$2:$A$151,0)),"ID not found"))</f>
        <v/>
      </c>
      <c r="F293" s="24">
        <f>IF(D293="","",IFERROR(INDEX(Mentors!$F$2:$F$151,MATCH(D293,Mentors!$A$2:$A$151,0))&amp;"",""))</f>
        <v/>
      </c>
      <c r="G293" s="24">
        <f>IF(D293="","",IFERROR(INDEX(Mentors!$P$2:$P$151,MATCH(D293,Mentors!$A$2:$A$151,0))&amp;"",""))</f>
        <v/>
      </c>
      <c r="H293" s="32" t="n"/>
      <c r="I293" s="32" t="n"/>
      <c r="J293" s="32" t="n"/>
      <c r="K293" s="24">
        <f>IF(B293="","",COUNT(I293:J293))</f>
        <v/>
      </c>
      <c r="L293" s="24" t="n"/>
      <c r="M293" s="24" t="n"/>
      <c r="N293" s="24" t="n"/>
      <c r="O293" s="24" t="n"/>
    </row>
    <row r="294">
      <c r="A294" s="24" t="inlineStr">
        <is>
          <t>M-293</t>
        </is>
      </c>
      <c r="B294" s="24" t="n"/>
      <c r="C294" s="24">
        <f>IF(B294="","",IFERROR(INDEX(Mentees!$D$2:$D$301,MATCH(B294,Mentees!$A$2:$A$301,0)),"ID not found"))</f>
        <v/>
      </c>
      <c r="D294" s="24" t="n"/>
      <c r="E294" s="24">
        <f>IF(D294="","",IFERROR(INDEX(Mentors!$D$2:$D$151,MATCH(D294,Mentors!$A$2:$A$151,0)),"ID not found"))</f>
        <v/>
      </c>
      <c r="F294" s="24">
        <f>IF(D294="","",IFERROR(INDEX(Mentors!$F$2:$F$151,MATCH(D294,Mentors!$A$2:$A$151,0))&amp;"",""))</f>
        <v/>
      </c>
      <c r="G294" s="24">
        <f>IF(D294="","",IFERROR(INDEX(Mentors!$P$2:$P$151,MATCH(D294,Mentors!$A$2:$A$151,0))&amp;"",""))</f>
        <v/>
      </c>
      <c r="H294" s="32" t="n"/>
      <c r="I294" s="32" t="n"/>
      <c r="J294" s="32" t="n"/>
      <c r="K294" s="24">
        <f>IF(B294="","",COUNT(I294:J294))</f>
        <v/>
      </c>
      <c r="L294" s="24" t="n"/>
      <c r="M294" s="24" t="n"/>
      <c r="N294" s="24" t="n"/>
      <c r="O294" s="24" t="n"/>
    </row>
    <row r="295">
      <c r="A295" s="24" t="inlineStr">
        <is>
          <t>M-294</t>
        </is>
      </c>
      <c r="B295" s="24" t="n"/>
      <c r="C295" s="24">
        <f>IF(B295="","",IFERROR(INDEX(Mentees!$D$2:$D$301,MATCH(B295,Mentees!$A$2:$A$301,0)),"ID not found"))</f>
        <v/>
      </c>
      <c r="D295" s="24" t="n"/>
      <c r="E295" s="24">
        <f>IF(D295="","",IFERROR(INDEX(Mentors!$D$2:$D$151,MATCH(D295,Mentors!$A$2:$A$151,0)),"ID not found"))</f>
        <v/>
      </c>
      <c r="F295" s="24">
        <f>IF(D295="","",IFERROR(INDEX(Mentors!$F$2:$F$151,MATCH(D295,Mentors!$A$2:$A$151,0))&amp;"",""))</f>
        <v/>
      </c>
      <c r="G295" s="24">
        <f>IF(D295="","",IFERROR(INDEX(Mentors!$P$2:$P$151,MATCH(D295,Mentors!$A$2:$A$151,0))&amp;"",""))</f>
        <v/>
      </c>
      <c r="H295" s="32" t="n"/>
      <c r="I295" s="32" t="n"/>
      <c r="J295" s="32" t="n"/>
      <c r="K295" s="24">
        <f>IF(B295="","",COUNT(I295:J295))</f>
        <v/>
      </c>
      <c r="L295" s="24" t="n"/>
      <c r="M295" s="24" t="n"/>
      <c r="N295" s="24" t="n"/>
      <c r="O295" s="24" t="n"/>
    </row>
    <row r="296">
      <c r="A296" s="24" t="inlineStr">
        <is>
          <t>M-295</t>
        </is>
      </c>
      <c r="B296" s="24" t="n"/>
      <c r="C296" s="24">
        <f>IF(B296="","",IFERROR(INDEX(Mentees!$D$2:$D$301,MATCH(B296,Mentees!$A$2:$A$301,0)),"ID not found"))</f>
        <v/>
      </c>
      <c r="D296" s="24" t="n"/>
      <c r="E296" s="24">
        <f>IF(D296="","",IFERROR(INDEX(Mentors!$D$2:$D$151,MATCH(D296,Mentors!$A$2:$A$151,0)),"ID not found"))</f>
        <v/>
      </c>
      <c r="F296" s="24">
        <f>IF(D296="","",IFERROR(INDEX(Mentors!$F$2:$F$151,MATCH(D296,Mentors!$A$2:$A$151,0))&amp;"",""))</f>
        <v/>
      </c>
      <c r="G296" s="24">
        <f>IF(D296="","",IFERROR(INDEX(Mentors!$P$2:$P$151,MATCH(D296,Mentors!$A$2:$A$151,0))&amp;"",""))</f>
        <v/>
      </c>
      <c r="H296" s="32" t="n"/>
      <c r="I296" s="32" t="n"/>
      <c r="J296" s="32" t="n"/>
      <c r="K296" s="24">
        <f>IF(B296="","",COUNT(I296:J296))</f>
        <v/>
      </c>
      <c r="L296" s="24" t="n"/>
      <c r="M296" s="24" t="n"/>
      <c r="N296" s="24" t="n"/>
      <c r="O296" s="24" t="n"/>
    </row>
    <row r="297">
      <c r="A297" s="24" t="inlineStr">
        <is>
          <t>M-296</t>
        </is>
      </c>
      <c r="B297" s="24" t="n"/>
      <c r="C297" s="24">
        <f>IF(B297="","",IFERROR(INDEX(Mentees!$D$2:$D$301,MATCH(B297,Mentees!$A$2:$A$301,0)),"ID not found"))</f>
        <v/>
      </c>
      <c r="D297" s="24" t="n"/>
      <c r="E297" s="24">
        <f>IF(D297="","",IFERROR(INDEX(Mentors!$D$2:$D$151,MATCH(D297,Mentors!$A$2:$A$151,0)),"ID not found"))</f>
        <v/>
      </c>
      <c r="F297" s="24">
        <f>IF(D297="","",IFERROR(INDEX(Mentors!$F$2:$F$151,MATCH(D297,Mentors!$A$2:$A$151,0))&amp;"",""))</f>
        <v/>
      </c>
      <c r="G297" s="24">
        <f>IF(D297="","",IFERROR(INDEX(Mentors!$P$2:$P$151,MATCH(D297,Mentors!$A$2:$A$151,0))&amp;"",""))</f>
        <v/>
      </c>
      <c r="H297" s="32" t="n"/>
      <c r="I297" s="32" t="n"/>
      <c r="J297" s="32" t="n"/>
      <c r="K297" s="24">
        <f>IF(B297="","",COUNT(I297:J297))</f>
        <v/>
      </c>
      <c r="L297" s="24" t="n"/>
      <c r="M297" s="24" t="n"/>
      <c r="N297" s="24" t="n"/>
      <c r="O297" s="24" t="n"/>
    </row>
    <row r="298">
      <c r="A298" s="24" t="inlineStr">
        <is>
          <t>M-297</t>
        </is>
      </c>
      <c r="B298" s="24" t="n"/>
      <c r="C298" s="24">
        <f>IF(B298="","",IFERROR(INDEX(Mentees!$D$2:$D$301,MATCH(B298,Mentees!$A$2:$A$301,0)),"ID not found"))</f>
        <v/>
      </c>
      <c r="D298" s="24" t="n"/>
      <c r="E298" s="24">
        <f>IF(D298="","",IFERROR(INDEX(Mentors!$D$2:$D$151,MATCH(D298,Mentors!$A$2:$A$151,0)),"ID not found"))</f>
        <v/>
      </c>
      <c r="F298" s="24">
        <f>IF(D298="","",IFERROR(INDEX(Mentors!$F$2:$F$151,MATCH(D298,Mentors!$A$2:$A$151,0))&amp;"",""))</f>
        <v/>
      </c>
      <c r="G298" s="24">
        <f>IF(D298="","",IFERROR(INDEX(Mentors!$P$2:$P$151,MATCH(D298,Mentors!$A$2:$A$151,0))&amp;"",""))</f>
        <v/>
      </c>
      <c r="H298" s="32" t="n"/>
      <c r="I298" s="32" t="n"/>
      <c r="J298" s="32" t="n"/>
      <c r="K298" s="24">
        <f>IF(B298="","",COUNT(I298:J298))</f>
        <v/>
      </c>
      <c r="L298" s="24" t="n"/>
      <c r="M298" s="24" t="n"/>
      <c r="N298" s="24" t="n"/>
      <c r="O298" s="24" t="n"/>
    </row>
    <row r="299">
      <c r="A299" s="24" t="inlineStr">
        <is>
          <t>M-298</t>
        </is>
      </c>
      <c r="B299" s="24" t="n"/>
      <c r="C299" s="24">
        <f>IF(B299="","",IFERROR(INDEX(Mentees!$D$2:$D$301,MATCH(B299,Mentees!$A$2:$A$301,0)),"ID not found"))</f>
        <v/>
      </c>
      <c r="D299" s="24" t="n"/>
      <c r="E299" s="24">
        <f>IF(D299="","",IFERROR(INDEX(Mentors!$D$2:$D$151,MATCH(D299,Mentors!$A$2:$A$151,0)),"ID not found"))</f>
        <v/>
      </c>
      <c r="F299" s="24">
        <f>IF(D299="","",IFERROR(INDEX(Mentors!$F$2:$F$151,MATCH(D299,Mentors!$A$2:$A$151,0))&amp;"",""))</f>
        <v/>
      </c>
      <c r="G299" s="24">
        <f>IF(D299="","",IFERROR(INDEX(Mentors!$P$2:$P$151,MATCH(D299,Mentors!$A$2:$A$151,0))&amp;"",""))</f>
        <v/>
      </c>
      <c r="H299" s="32" t="n"/>
      <c r="I299" s="32" t="n"/>
      <c r="J299" s="32" t="n"/>
      <c r="K299" s="24">
        <f>IF(B299="","",COUNT(I299:J299))</f>
        <v/>
      </c>
      <c r="L299" s="24" t="n"/>
      <c r="M299" s="24" t="n"/>
      <c r="N299" s="24" t="n"/>
      <c r="O299" s="24" t="n"/>
    </row>
    <row r="300">
      <c r="A300" s="24" t="inlineStr">
        <is>
          <t>M-299</t>
        </is>
      </c>
      <c r="B300" s="24" t="n"/>
      <c r="C300" s="24">
        <f>IF(B300="","",IFERROR(INDEX(Mentees!$D$2:$D$301,MATCH(B300,Mentees!$A$2:$A$301,0)),"ID not found"))</f>
        <v/>
      </c>
      <c r="D300" s="24" t="n"/>
      <c r="E300" s="24">
        <f>IF(D300="","",IFERROR(INDEX(Mentors!$D$2:$D$151,MATCH(D300,Mentors!$A$2:$A$151,0)),"ID not found"))</f>
        <v/>
      </c>
      <c r="F300" s="24">
        <f>IF(D300="","",IFERROR(INDEX(Mentors!$F$2:$F$151,MATCH(D300,Mentors!$A$2:$A$151,0))&amp;"",""))</f>
        <v/>
      </c>
      <c r="G300" s="24">
        <f>IF(D300="","",IFERROR(INDEX(Mentors!$P$2:$P$151,MATCH(D300,Mentors!$A$2:$A$151,0))&amp;"",""))</f>
        <v/>
      </c>
      <c r="H300" s="32" t="n"/>
      <c r="I300" s="32" t="n"/>
      <c r="J300" s="32" t="n"/>
      <c r="K300" s="24">
        <f>IF(B300="","",COUNT(I300:J300))</f>
        <v/>
      </c>
      <c r="L300" s="24" t="n"/>
      <c r="M300" s="24" t="n"/>
      <c r="N300" s="24" t="n"/>
      <c r="O300" s="24" t="n"/>
    </row>
    <row r="301">
      <c r="A301" s="24" t="inlineStr">
        <is>
          <t>M-300</t>
        </is>
      </c>
      <c r="B301" s="24" t="n"/>
      <c r="C301" s="24">
        <f>IF(B301="","",IFERROR(INDEX(Mentees!$D$2:$D$301,MATCH(B301,Mentees!$A$2:$A$301,0)),"ID not found"))</f>
        <v/>
      </c>
      <c r="D301" s="24" t="n"/>
      <c r="E301" s="24">
        <f>IF(D301="","",IFERROR(INDEX(Mentors!$D$2:$D$151,MATCH(D301,Mentors!$A$2:$A$151,0)),"ID not found"))</f>
        <v/>
      </c>
      <c r="F301" s="24">
        <f>IF(D301="","",IFERROR(INDEX(Mentors!$F$2:$F$151,MATCH(D301,Mentors!$A$2:$A$151,0))&amp;"",""))</f>
        <v/>
      </c>
      <c r="G301" s="24">
        <f>IF(D301="","",IFERROR(INDEX(Mentors!$P$2:$P$151,MATCH(D301,Mentors!$A$2:$A$151,0))&amp;"",""))</f>
        <v/>
      </c>
      <c r="H301" s="32" t="n"/>
      <c r="I301" s="32" t="n"/>
      <c r="J301" s="32" t="n"/>
      <c r="K301" s="24">
        <f>IF(B301="","",COUNT(I301:J301))</f>
        <v/>
      </c>
      <c r="L301" s="24" t="n"/>
      <c r="M301" s="24" t="n"/>
      <c r="N301" s="24" t="n"/>
      <c r="O301" s="24" t="n"/>
    </row>
    <row r="302">
      <c r="A302" s="24" t="inlineStr">
        <is>
          <t>M-301</t>
        </is>
      </c>
      <c r="B302" s="24" t="n"/>
      <c r="C302" s="24">
        <f>IF(B302="","",IFERROR(INDEX(Mentees!$D$2:$D$301,MATCH(B302,Mentees!$A$2:$A$301,0)),"ID not found"))</f>
        <v/>
      </c>
      <c r="D302" s="24" t="n"/>
      <c r="E302" s="24">
        <f>IF(D302="","",IFERROR(INDEX(Mentors!$D$2:$D$151,MATCH(D302,Mentors!$A$2:$A$151,0)),"ID not found"))</f>
        <v/>
      </c>
      <c r="F302" s="24">
        <f>IF(D302="","",IFERROR(INDEX(Mentors!$F$2:$F$151,MATCH(D302,Mentors!$A$2:$A$151,0))&amp;"",""))</f>
        <v/>
      </c>
      <c r="G302" s="24">
        <f>IF(D302="","",IFERROR(INDEX(Mentors!$P$2:$P$151,MATCH(D302,Mentors!$A$2:$A$151,0))&amp;"",""))</f>
        <v/>
      </c>
      <c r="H302" s="32" t="n"/>
      <c r="I302" s="32" t="n"/>
      <c r="J302" s="32" t="n"/>
      <c r="K302" s="24">
        <f>IF(B302="","",COUNT(I302:J302))</f>
        <v/>
      </c>
      <c r="L302" s="24" t="n"/>
      <c r="M302" s="24" t="n"/>
      <c r="N302" s="24" t="n"/>
      <c r="O302" s="24" t="n"/>
    </row>
    <row r="303">
      <c r="A303" s="24" t="inlineStr">
        <is>
          <t>M-302</t>
        </is>
      </c>
      <c r="B303" s="24" t="n"/>
      <c r="C303" s="24">
        <f>IF(B303="","",IFERROR(INDEX(Mentees!$D$2:$D$301,MATCH(B303,Mentees!$A$2:$A$301,0)),"ID not found"))</f>
        <v/>
      </c>
      <c r="D303" s="24" t="n"/>
      <c r="E303" s="24">
        <f>IF(D303="","",IFERROR(INDEX(Mentors!$D$2:$D$151,MATCH(D303,Mentors!$A$2:$A$151,0)),"ID not found"))</f>
        <v/>
      </c>
      <c r="F303" s="24">
        <f>IF(D303="","",IFERROR(INDEX(Mentors!$F$2:$F$151,MATCH(D303,Mentors!$A$2:$A$151,0))&amp;"",""))</f>
        <v/>
      </c>
      <c r="G303" s="24">
        <f>IF(D303="","",IFERROR(INDEX(Mentors!$P$2:$P$151,MATCH(D303,Mentors!$A$2:$A$151,0))&amp;"",""))</f>
        <v/>
      </c>
      <c r="H303" s="32" t="n"/>
      <c r="I303" s="32" t="n"/>
      <c r="J303" s="32" t="n"/>
      <c r="K303" s="24">
        <f>IF(B303="","",COUNT(I303:J303))</f>
        <v/>
      </c>
      <c r="L303" s="24" t="n"/>
      <c r="M303" s="24" t="n"/>
      <c r="N303" s="24" t="n"/>
      <c r="O303" s="24" t="n"/>
    </row>
    <row r="304">
      <c r="A304" s="24" t="inlineStr">
        <is>
          <t>M-303</t>
        </is>
      </c>
      <c r="B304" s="24" t="n"/>
      <c r="C304" s="24">
        <f>IF(B304="","",IFERROR(INDEX(Mentees!$D$2:$D$301,MATCH(B304,Mentees!$A$2:$A$301,0)),"ID not found"))</f>
        <v/>
      </c>
      <c r="D304" s="24" t="n"/>
      <c r="E304" s="24">
        <f>IF(D304="","",IFERROR(INDEX(Mentors!$D$2:$D$151,MATCH(D304,Mentors!$A$2:$A$151,0)),"ID not found"))</f>
        <v/>
      </c>
      <c r="F304" s="24">
        <f>IF(D304="","",IFERROR(INDEX(Mentors!$F$2:$F$151,MATCH(D304,Mentors!$A$2:$A$151,0))&amp;"",""))</f>
        <v/>
      </c>
      <c r="G304" s="24">
        <f>IF(D304="","",IFERROR(INDEX(Mentors!$P$2:$P$151,MATCH(D304,Mentors!$A$2:$A$151,0))&amp;"",""))</f>
        <v/>
      </c>
      <c r="H304" s="32" t="n"/>
      <c r="I304" s="32" t="n"/>
      <c r="J304" s="32" t="n"/>
      <c r="K304" s="24">
        <f>IF(B304="","",COUNT(I304:J304))</f>
        <v/>
      </c>
      <c r="L304" s="24" t="n"/>
      <c r="M304" s="24" t="n"/>
      <c r="N304" s="24" t="n"/>
      <c r="O304" s="24" t="n"/>
    </row>
    <row r="305">
      <c r="A305" s="24" t="inlineStr">
        <is>
          <t>M-304</t>
        </is>
      </c>
      <c r="B305" s="24" t="n"/>
      <c r="C305" s="24">
        <f>IF(B305="","",IFERROR(INDEX(Mentees!$D$2:$D$301,MATCH(B305,Mentees!$A$2:$A$301,0)),"ID not found"))</f>
        <v/>
      </c>
      <c r="D305" s="24" t="n"/>
      <c r="E305" s="24">
        <f>IF(D305="","",IFERROR(INDEX(Mentors!$D$2:$D$151,MATCH(D305,Mentors!$A$2:$A$151,0)),"ID not found"))</f>
        <v/>
      </c>
      <c r="F305" s="24">
        <f>IF(D305="","",IFERROR(INDEX(Mentors!$F$2:$F$151,MATCH(D305,Mentors!$A$2:$A$151,0))&amp;"",""))</f>
        <v/>
      </c>
      <c r="G305" s="24">
        <f>IF(D305="","",IFERROR(INDEX(Mentors!$P$2:$P$151,MATCH(D305,Mentors!$A$2:$A$151,0))&amp;"",""))</f>
        <v/>
      </c>
      <c r="H305" s="32" t="n"/>
      <c r="I305" s="32" t="n"/>
      <c r="J305" s="32" t="n"/>
      <c r="K305" s="24">
        <f>IF(B305="","",COUNT(I305:J305))</f>
        <v/>
      </c>
      <c r="L305" s="24" t="n"/>
      <c r="M305" s="24" t="n"/>
      <c r="N305" s="24" t="n"/>
      <c r="O305" s="24" t="n"/>
    </row>
    <row r="306">
      <c r="A306" s="24" t="inlineStr">
        <is>
          <t>M-305</t>
        </is>
      </c>
      <c r="B306" s="24" t="n"/>
      <c r="C306" s="24">
        <f>IF(B306="","",IFERROR(INDEX(Mentees!$D$2:$D$301,MATCH(B306,Mentees!$A$2:$A$301,0)),"ID not found"))</f>
        <v/>
      </c>
      <c r="D306" s="24" t="n"/>
      <c r="E306" s="24">
        <f>IF(D306="","",IFERROR(INDEX(Mentors!$D$2:$D$151,MATCH(D306,Mentors!$A$2:$A$151,0)),"ID not found"))</f>
        <v/>
      </c>
      <c r="F306" s="24">
        <f>IF(D306="","",IFERROR(INDEX(Mentors!$F$2:$F$151,MATCH(D306,Mentors!$A$2:$A$151,0))&amp;"",""))</f>
        <v/>
      </c>
      <c r="G306" s="24">
        <f>IF(D306="","",IFERROR(INDEX(Mentors!$P$2:$P$151,MATCH(D306,Mentors!$A$2:$A$151,0))&amp;"",""))</f>
        <v/>
      </c>
      <c r="H306" s="32" t="n"/>
      <c r="I306" s="32" t="n"/>
      <c r="J306" s="32" t="n"/>
      <c r="K306" s="24">
        <f>IF(B306="","",COUNT(I306:J306))</f>
        <v/>
      </c>
      <c r="L306" s="24" t="n"/>
      <c r="M306" s="24" t="n"/>
      <c r="N306" s="24" t="n"/>
      <c r="O306" s="24" t="n"/>
    </row>
    <row r="307">
      <c r="A307" s="24" t="inlineStr">
        <is>
          <t>M-306</t>
        </is>
      </c>
      <c r="B307" s="24" t="n"/>
      <c r="C307" s="24">
        <f>IF(B307="","",IFERROR(INDEX(Mentees!$D$2:$D$301,MATCH(B307,Mentees!$A$2:$A$301,0)),"ID not found"))</f>
        <v/>
      </c>
      <c r="D307" s="24" t="n"/>
      <c r="E307" s="24">
        <f>IF(D307="","",IFERROR(INDEX(Mentors!$D$2:$D$151,MATCH(D307,Mentors!$A$2:$A$151,0)),"ID not found"))</f>
        <v/>
      </c>
      <c r="F307" s="24">
        <f>IF(D307="","",IFERROR(INDEX(Mentors!$F$2:$F$151,MATCH(D307,Mentors!$A$2:$A$151,0))&amp;"",""))</f>
        <v/>
      </c>
      <c r="G307" s="24">
        <f>IF(D307="","",IFERROR(INDEX(Mentors!$P$2:$P$151,MATCH(D307,Mentors!$A$2:$A$151,0))&amp;"",""))</f>
        <v/>
      </c>
      <c r="H307" s="32" t="n"/>
      <c r="I307" s="32" t="n"/>
      <c r="J307" s="32" t="n"/>
      <c r="K307" s="24">
        <f>IF(B307="","",COUNT(I307:J307))</f>
        <v/>
      </c>
      <c r="L307" s="24" t="n"/>
      <c r="M307" s="24" t="n"/>
      <c r="N307" s="24" t="n"/>
      <c r="O307" s="24" t="n"/>
    </row>
    <row r="308">
      <c r="A308" s="24" t="inlineStr">
        <is>
          <t>M-307</t>
        </is>
      </c>
      <c r="B308" s="24" t="n"/>
      <c r="C308" s="24">
        <f>IF(B308="","",IFERROR(INDEX(Mentees!$D$2:$D$301,MATCH(B308,Mentees!$A$2:$A$301,0)),"ID not found"))</f>
        <v/>
      </c>
      <c r="D308" s="24" t="n"/>
      <c r="E308" s="24">
        <f>IF(D308="","",IFERROR(INDEX(Mentors!$D$2:$D$151,MATCH(D308,Mentors!$A$2:$A$151,0)),"ID not found"))</f>
        <v/>
      </c>
      <c r="F308" s="24">
        <f>IF(D308="","",IFERROR(INDEX(Mentors!$F$2:$F$151,MATCH(D308,Mentors!$A$2:$A$151,0))&amp;"",""))</f>
        <v/>
      </c>
      <c r="G308" s="24">
        <f>IF(D308="","",IFERROR(INDEX(Mentors!$P$2:$P$151,MATCH(D308,Mentors!$A$2:$A$151,0))&amp;"",""))</f>
        <v/>
      </c>
      <c r="H308" s="32" t="n"/>
      <c r="I308" s="32" t="n"/>
      <c r="J308" s="32" t="n"/>
      <c r="K308" s="24">
        <f>IF(B308="","",COUNT(I308:J308))</f>
        <v/>
      </c>
      <c r="L308" s="24" t="n"/>
      <c r="M308" s="24" t="n"/>
      <c r="N308" s="24" t="n"/>
      <c r="O308" s="24" t="n"/>
    </row>
    <row r="309">
      <c r="A309" s="24" t="inlineStr">
        <is>
          <t>M-308</t>
        </is>
      </c>
      <c r="B309" s="24" t="n"/>
      <c r="C309" s="24">
        <f>IF(B309="","",IFERROR(INDEX(Mentees!$D$2:$D$301,MATCH(B309,Mentees!$A$2:$A$301,0)),"ID not found"))</f>
        <v/>
      </c>
      <c r="D309" s="24" t="n"/>
      <c r="E309" s="24">
        <f>IF(D309="","",IFERROR(INDEX(Mentors!$D$2:$D$151,MATCH(D309,Mentors!$A$2:$A$151,0)),"ID not found"))</f>
        <v/>
      </c>
      <c r="F309" s="24">
        <f>IF(D309="","",IFERROR(INDEX(Mentors!$F$2:$F$151,MATCH(D309,Mentors!$A$2:$A$151,0))&amp;"",""))</f>
        <v/>
      </c>
      <c r="G309" s="24">
        <f>IF(D309="","",IFERROR(INDEX(Mentors!$P$2:$P$151,MATCH(D309,Mentors!$A$2:$A$151,0))&amp;"",""))</f>
        <v/>
      </c>
      <c r="H309" s="32" t="n"/>
      <c r="I309" s="32" t="n"/>
      <c r="J309" s="32" t="n"/>
      <c r="K309" s="24">
        <f>IF(B309="","",COUNT(I309:J309))</f>
        <v/>
      </c>
      <c r="L309" s="24" t="n"/>
      <c r="M309" s="24" t="n"/>
      <c r="N309" s="24" t="n"/>
      <c r="O309" s="24" t="n"/>
    </row>
    <row r="310">
      <c r="A310" s="24" t="inlineStr">
        <is>
          <t>M-309</t>
        </is>
      </c>
      <c r="B310" s="24" t="n"/>
      <c r="C310" s="24">
        <f>IF(B310="","",IFERROR(INDEX(Mentees!$D$2:$D$301,MATCH(B310,Mentees!$A$2:$A$301,0)),"ID not found"))</f>
        <v/>
      </c>
      <c r="D310" s="24" t="n"/>
      <c r="E310" s="24">
        <f>IF(D310="","",IFERROR(INDEX(Mentors!$D$2:$D$151,MATCH(D310,Mentors!$A$2:$A$151,0)),"ID not found"))</f>
        <v/>
      </c>
      <c r="F310" s="24">
        <f>IF(D310="","",IFERROR(INDEX(Mentors!$F$2:$F$151,MATCH(D310,Mentors!$A$2:$A$151,0))&amp;"",""))</f>
        <v/>
      </c>
      <c r="G310" s="24">
        <f>IF(D310="","",IFERROR(INDEX(Mentors!$P$2:$P$151,MATCH(D310,Mentors!$A$2:$A$151,0))&amp;"",""))</f>
        <v/>
      </c>
      <c r="H310" s="32" t="n"/>
      <c r="I310" s="32" t="n"/>
      <c r="J310" s="32" t="n"/>
      <c r="K310" s="24">
        <f>IF(B310="","",COUNT(I310:J310))</f>
        <v/>
      </c>
      <c r="L310" s="24" t="n"/>
      <c r="M310" s="24" t="n"/>
      <c r="N310" s="24" t="n"/>
      <c r="O310" s="24" t="n"/>
    </row>
    <row r="311">
      <c r="A311" s="24" t="inlineStr">
        <is>
          <t>M-310</t>
        </is>
      </c>
      <c r="B311" s="24" t="n"/>
      <c r="C311" s="24">
        <f>IF(B311="","",IFERROR(INDEX(Mentees!$D$2:$D$301,MATCH(B311,Mentees!$A$2:$A$301,0)),"ID not found"))</f>
        <v/>
      </c>
      <c r="D311" s="24" t="n"/>
      <c r="E311" s="24">
        <f>IF(D311="","",IFERROR(INDEX(Mentors!$D$2:$D$151,MATCH(D311,Mentors!$A$2:$A$151,0)),"ID not found"))</f>
        <v/>
      </c>
      <c r="F311" s="24">
        <f>IF(D311="","",IFERROR(INDEX(Mentors!$F$2:$F$151,MATCH(D311,Mentors!$A$2:$A$151,0))&amp;"",""))</f>
        <v/>
      </c>
      <c r="G311" s="24">
        <f>IF(D311="","",IFERROR(INDEX(Mentors!$P$2:$P$151,MATCH(D311,Mentors!$A$2:$A$151,0))&amp;"",""))</f>
        <v/>
      </c>
      <c r="H311" s="32" t="n"/>
      <c r="I311" s="32" t="n"/>
      <c r="J311" s="32" t="n"/>
      <c r="K311" s="24">
        <f>IF(B311="","",COUNT(I311:J311))</f>
        <v/>
      </c>
      <c r="L311" s="24" t="n"/>
      <c r="M311" s="24" t="n"/>
      <c r="N311" s="24" t="n"/>
      <c r="O311" s="24" t="n"/>
    </row>
    <row r="312">
      <c r="A312" s="24" t="inlineStr">
        <is>
          <t>M-311</t>
        </is>
      </c>
      <c r="B312" s="24" t="n"/>
      <c r="C312" s="24">
        <f>IF(B312="","",IFERROR(INDEX(Mentees!$D$2:$D$301,MATCH(B312,Mentees!$A$2:$A$301,0)),"ID not found"))</f>
        <v/>
      </c>
      <c r="D312" s="24" t="n"/>
      <c r="E312" s="24">
        <f>IF(D312="","",IFERROR(INDEX(Mentors!$D$2:$D$151,MATCH(D312,Mentors!$A$2:$A$151,0)),"ID not found"))</f>
        <v/>
      </c>
      <c r="F312" s="24">
        <f>IF(D312="","",IFERROR(INDEX(Mentors!$F$2:$F$151,MATCH(D312,Mentors!$A$2:$A$151,0))&amp;"",""))</f>
        <v/>
      </c>
      <c r="G312" s="24">
        <f>IF(D312="","",IFERROR(INDEX(Mentors!$P$2:$P$151,MATCH(D312,Mentors!$A$2:$A$151,0))&amp;"",""))</f>
        <v/>
      </c>
      <c r="H312" s="32" t="n"/>
      <c r="I312" s="32" t="n"/>
      <c r="J312" s="32" t="n"/>
      <c r="K312" s="24">
        <f>IF(B312="","",COUNT(I312:J312))</f>
        <v/>
      </c>
      <c r="L312" s="24" t="n"/>
      <c r="M312" s="24" t="n"/>
      <c r="N312" s="24" t="n"/>
      <c r="O312" s="24" t="n"/>
    </row>
    <row r="313">
      <c r="A313" s="24" t="inlineStr">
        <is>
          <t>M-312</t>
        </is>
      </c>
      <c r="B313" s="24" t="n"/>
      <c r="C313" s="24">
        <f>IF(B313="","",IFERROR(INDEX(Mentees!$D$2:$D$301,MATCH(B313,Mentees!$A$2:$A$301,0)),"ID not found"))</f>
        <v/>
      </c>
      <c r="D313" s="24" t="n"/>
      <c r="E313" s="24">
        <f>IF(D313="","",IFERROR(INDEX(Mentors!$D$2:$D$151,MATCH(D313,Mentors!$A$2:$A$151,0)),"ID not found"))</f>
        <v/>
      </c>
      <c r="F313" s="24">
        <f>IF(D313="","",IFERROR(INDEX(Mentors!$F$2:$F$151,MATCH(D313,Mentors!$A$2:$A$151,0))&amp;"",""))</f>
        <v/>
      </c>
      <c r="G313" s="24">
        <f>IF(D313="","",IFERROR(INDEX(Mentors!$P$2:$P$151,MATCH(D313,Mentors!$A$2:$A$151,0))&amp;"",""))</f>
        <v/>
      </c>
      <c r="H313" s="32" t="n"/>
      <c r="I313" s="32" t="n"/>
      <c r="J313" s="32" t="n"/>
      <c r="K313" s="24">
        <f>IF(B313="","",COUNT(I313:J313))</f>
        <v/>
      </c>
      <c r="L313" s="24" t="n"/>
      <c r="M313" s="24" t="n"/>
      <c r="N313" s="24" t="n"/>
      <c r="O313" s="24" t="n"/>
    </row>
    <row r="314">
      <c r="A314" s="24" t="inlineStr">
        <is>
          <t>M-313</t>
        </is>
      </c>
      <c r="B314" s="24" t="n"/>
      <c r="C314" s="24">
        <f>IF(B314="","",IFERROR(INDEX(Mentees!$D$2:$D$301,MATCH(B314,Mentees!$A$2:$A$301,0)),"ID not found"))</f>
        <v/>
      </c>
      <c r="D314" s="24" t="n"/>
      <c r="E314" s="24">
        <f>IF(D314="","",IFERROR(INDEX(Mentors!$D$2:$D$151,MATCH(D314,Mentors!$A$2:$A$151,0)),"ID not found"))</f>
        <v/>
      </c>
      <c r="F314" s="24">
        <f>IF(D314="","",IFERROR(INDEX(Mentors!$F$2:$F$151,MATCH(D314,Mentors!$A$2:$A$151,0))&amp;"",""))</f>
        <v/>
      </c>
      <c r="G314" s="24">
        <f>IF(D314="","",IFERROR(INDEX(Mentors!$P$2:$P$151,MATCH(D314,Mentors!$A$2:$A$151,0))&amp;"",""))</f>
        <v/>
      </c>
      <c r="H314" s="32" t="n"/>
      <c r="I314" s="32" t="n"/>
      <c r="J314" s="32" t="n"/>
      <c r="K314" s="24">
        <f>IF(B314="","",COUNT(I314:J314))</f>
        <v/>
      </c>
      <c r="L314" s="24" t="n"/>
      <c r="M314" s="24" t="n"/>
      <c r="N314" s="24" t="n"/>
      <c r="O314" s="24" t="n"/>
    </row>
    <row r="315">
      <c r="A315" s="24" t="inlineStr">
        <is>
          <t>M-314</t>
        </is>
      </c>
      <c r="B315" s="24" t="n"/>
      <c r="C315" s="24">
        <f>IF(B315="","",IFERROR(INDEX(Mentees!$D$2:$D$301,MATCH(B315,Mentees!$A$2:$A$301,0)),"ID not found"))</f>
        <v/>
      </c>
      <c r="D315" s="24" t="n"/>
      <c r="E315" s="24">
        <f>IF(D315="","",IFERROR(INDEX(Mentors!$D$2:$D$151,MATCH(D315,Mentors!$A$2:$A$151,0)),"ID not found"))</f>
        <v/>
      </c>
      <c r="F315" s="24">
        <f>IF(D315="","",IFERROR(INDEX(Mentors!$F$2:$F$151,MATCH(D315,Mentors!$A$2:$A$151,0))&amp;"",""))</f>
        <v/>
      </c>
      <c r="G315" s="24">
        <f>IF(D315="","",IFERROR(INDEX(Mentors!$P$2:$P$151,MATCH(D315,Mentors!$A$2:$A$151,0))&amp;"",""))</f>
        <v/>
      </c>
      <c r="H315" s="32" t="n"/>
      <c r="I315" s="32" t="n"/>
      <c r="J315" s="32" t="n"/>
      <c r="K315" s="24">
        <f>IF(B315="","",COUNT(I315:J315))</f>
        <v/>
      </c>
      <c r="L315" s="24" t="n"/>
      <c r="M315" s="24" t="n"/>
      <c r="N315" s="24" t="n"/>
      <c r="O315" s="24" t="n"/>
    </row>
    <row r="316">
      <c r="A316" s="24" t="inlineStr">
        <is>
          <t>M-315</t>
        </is>
      </c>
      <c r="B316" s="24" t="n"/>
      <c r="C316" s="24">
        <f>IF(B316="","",IFERROR(INDEX(Mentees!$D$2:$D$301,MATCH(B316,Mentees!$A$2:$A$301,0)),"ID not found"))</f>
        <v/>
      </c>
      <c r="D316" s="24" t="n"/>
      <c r="E316" s="24">
        <f>IF(D316="","",IFERROR(INDEX(Mentors!$D$2:$D$151,MATCH(D316,Mentors!$A$2:$A$151,0)),"ID not found"))</f>
        <v/>
      </c>
      <c r="F316" s="24">
        <f>IF(D316="","",IFERROR(INDEX(Mentors!$F$2:$F$151,MATCH(D316,Mentors!$A$2:$A$151,0))&amp;"",""))</f>
        <v/>
      </c>
      <c r="G316" s="24">
        <f>IF(D316="","",IFERROR(INDEX(Mentors!$P$2:$P$151,MATCH(D316,Mentors!$A$2:$A$151,0))&amp;"",""))</f>
        <v/>
      </c>
      <c r="H316" s="32" t="n"/>
      <c r="I316" s="32" t="n"/>
      <c r="J316" s="32" t="n"/>
      <c r="K316" s="24">
        <f>IF(B316="","",COUNT(I316:J316))</f>
        <v/>
      </c>
      <c r="L316" s="24" t="n"/>
      <c r="M316" s="24" t="n"/>
      <c r="N316" s="24" t="n"/>
      <c r="O316" s="24" t="n"/>
    </row>
    <row r="317">
      <c r="A317" s="24" t="inlineStr">
        <is>
          <t>M-316</t>
        </is>
      </c>
      <c r="B317" s="24" t="n"/>
      <c r="C317" s="24">
        <f>IF(B317="","",IFERROR(INDEX(Mentees!$D$2:$D$301,MATCH(B317,Mentees!$A$2:$A$301,0)),"ID not found"))</f>
        <v/>
      </c>
      <c r="D317" s="24" t="n"/>
      <c r="E317" s="24">
        <f>IF(D317="","",IFERROR(INDEX(Mentors!$D$2:$D$151,MATCH(D317,Mentors!$A$2:$A$151,0)),"ID not found"))</f>
        <v/>
      </c>
      <c r="F317" s="24">
        <f>IF(D317="","",IFERROR(INDEX(Mentors!$F$2:$F$151,MATCH(D317,Mentors!$A$2:$A$151,0))&amp;"",""))</f>
        <v/>
      </c>
      <c r="G317" s="24">
        <f>IF(D317="","",IFERROR(INDEX(Mentors!$P$2:$P$151,MATCH(D317,Mentors!$A$2:$A$151,0))&amp;"",""))</f>
        <v/>
      </c>
      <c r="H317" s="32" t="n"/>
      <c r="I317" s="32" t="n"/>
      <c r="J317" s="32" t="n"/>
      <c r="K317" s="24">
        <f>IF(B317="","",COUNT(I317:J317))</f>
        <v/>
      </c>
      <c r="L317" s="24" t="n"/>
      <c r="M317" s="24" t="n"/>
      <c r="N317" s="24" t="n"/>
      <c r="O317" s="24" t="n"/>
    </row>
    <row r="318">
      <c r="A318" s="24" t="inlineStr">
        <is>
          <t>M-317</t>
        </is>
      </c>
      <c r="B318" s="24" t="n"/>
      <c r="C318" s="24">
        <f>IF(B318="","",IFERROR(INDEX(Mentees!$D$2:$D$301,MATCH(B318,Mentees!$A$2:$A$301,0)),"ID not found"))</f>
        <v/>
      </c>
      <c r="D318" s="24" t="n"/>
      <c r="E318" s="24">
        <f>IF(D318="","",IFERROR(INDEX(Mentors!$D$2:$D$151,MATCH(D318,Mentors!$A$2:$A$151,0)),"ID not found"))</f>
        <v/>
      </c>
      <c r="F318" s="24">
        <f>IF(D318="","",IFERROR(INDEX(Mentors!$F$2:$F$151,MATCH(D318,Mentors!$A$2:$A$151,0))&amp;"",""))</f>
        <v/>
      </c>
      <c r="G318" s="24">
        <f>IF(D318="","",IFERROR(INDEX(Mentors!$P$2:$P$151,MATCH(D318,Mentors!$A$2:$A$151,0))&amp;"",""))</f>
        <v/>
      </c>
      <c r="H318" s="32" t="n"/>
      <c r="I318" s="32" t="n"/>
      <c r="J318" s="32" t="n"/>
      <c r="K318" s="24">
        <f>IF(B318="","",COUNT(I318:J318))</f>
        <v/>
      </c>
      <c r="L318" s="24" t="n"/>
      <c r="M318" s="24" t="n"/>
      <c r="N318" s="24" t="n"/>
      <c r="O318" s="24" t="n"/>
    </row>
    <row r="319">
      <c r="A319" s="24" t="inlineStr">
        <is>
          <t>M-318</t>
        </is>
      </c>
      <c r="B319" s="24" t="n"/>
      <c r="C319" s="24">
        <f>IF(B319="","",IFERROR(INDEX(Mentees!$D$2:$D$301,MATCH(B319,Mentees!$A$2:$A$301,0)),"ID not found"))</f>
        <v/>
      </c>
      <c r="D319" s="24" t="n"/>
      <c r="E319" s="24">
        <f>IF(D319="","",IFERROR(INDEX(Mentors!$D$2:$D$151,MATCH(D319,Mentors!$A$2:$A$151,0)),"ID not found"))</f>
        <v/>
      </c>
      <c r="F319" s="24">
        <f>IF(D319="","",IFERROR(INDEX(Mentors!$F$2:$F$151,MATCH(D319,Mentors!$A$2:$A$151,0))&amp;"",""))</f>
        <v/>
      </c>
      <c r="G319" s="24">
        <f>IF(D319="","",IFERROR(INDEX(Mentors!$P$2:$P$151,MATCH(D319,Mentors!$A$2:$A$151,0))&amp;"",""))</f>
        <v/>
      </c>
      <c r="H319" s="32" t="n"/>
      <c r="I319" s="32" t="n"/>
      <c r="J319" s="32" t="n"/>
      <c r="K319" s="24">
        <f>IF(B319="","",COUNT(I319:J319))</f>
        <v/>
      </c>
      <c r="L319" s="24" t="n"/>
      <c r="M319" s="24" t="n"/>
      <c r="N319" s="24" t="n"/>
      <c r="O319" s="24" t="n"/>
    </row>
    <row r="320">
      <c r="A320" s="24" t="inlineStr">
        <is>
          <t>M-319</t>
        </is>
      </c>
      <c r="B320" s="24" t="n"/>
      <c r="C320" s="24">
        <f>IF(B320="","",IFERROR(INDEX(Mentees!$D$2:$D$301,MATCH(B320,Mentees!$A$2:$A$301,0)),"ID not found"))</f>
        <v/>
      </c>
      <c r="D320" s="24" t="n"/>
      <c r="E320" s="24">
        <f>IF(D320="","",IFERROR(INDEX(Mentors!$D$2:$D$151,MATCH(D320,Mentors!$A$2:$A$151,0)),"ID not found"))</f>
        <v/>
      </c>
      <c r="F320" s="24">
        <f>IF(D320="","",IFERROR(INDEX(Mentors!$F$2:$F$151,MATCH(D320,Mentors!$A$2:$A$151,0))&amp;"",""))</f>
        <v/>
      </c>
      <c r="G320" s="24">
        <f>IF(D320="","",IFERROR(INDEX(Mentors!$P$2:$P$151,MATCH(D320,Mentors!$A$2:$A$151,0))&amp;"",""))</f>
        <v/>
      </c>
      <c r="H320" s="32" t="n"/>
      <c r="I320" s="32" t="n"/>
      <c r="J320" s="32" t="n"/>
      <c r="K320" s="24">
        <f>IF(B320="","",COUNT(I320:J320))</f>
        <v/>
      </c>
      <c r="L320" s="24" t="n"/>
      <c r="M320" s="24" t="n"/>
      <c r="N320" s="24" t="n"/>
      <c r="O320" s="24" t="n"/>
    </row>
    <row r="321">
      <c r="A321" s="24" t="inlineStr">
        <is>
          <t>M-320</t>
        </is>
      </c>
      <c r="B321" s="24" t="n"/>
      <c r="C321" s="24">
        <f>IF(B321="","",IFERROR(INDEX(Mentees!$D$2:$D$301,MATCH(B321,Mentees!$A$2:$A$301,0)),"ID not found"))</f>
        <v/>
      </c>
      <c r="D321" s="24" t="n"/>
      <c r="E321" s="24">
        <f>IF(D321="","",IFERROR(INDEX(Mentors!$D$2:$D$151,MATCH(D321,Mentors!$A$2:$A$151,0)),"ID not found"))</f>
        <v/>
      </c>
      <c r="F321" s="24">
        <f>IF(D321="","",IFERROR(INDEX(Mentors!$F$2:$F$151,MATCH(D321,Mentors!$A$2:$A$151,0))&amp;"",""))</f>
        <v/>
      </c>
      <c r="G321" s="24">
        <f>IF(D321="","",IFERROR(INDEX(Mentors!$P$2:$P$151,MATCH(D321,Mentors!$A$2:$A$151,0))&amp;"",""))</f>
        <v/>
      </c>
      <c r="H321" s="32" t="n"/>
      <c r="I321" s="32" t="n"/>
      <c r="J321" s="32" t="n"/>
      <c r="K321" s="24">
        <f>IF(B321="","",COUNT(I321:J321))</f>
        <v/>
      </c>
      <c r="L321" s="24" t="n"/>
      <c r="M321" s="24" t="n"/>
      <c r="N321" s="24" t="n"/>
      <c r="O321" s="24" t="n"/>
    </row>
    <row r="322">
      <c r="A322" s="24" t="inlineStr">
        <is>
          <t>M-321</t>
        </is>
      </c>
      <c r="B322" s="24" t="n"/>
      <c r="C322" s="24">
        <f>IF(B322="","",IFERROR(INDEX(Mentees!$D$2:$D$301,MATCH(B322,Mentees!$A$2:$A$301,0)),"ID not found"))</f>
        <v/>
      </c>
      <c r="D322" s="24" t="n"/>
      <c r="E322" s="24">
        <f>IF(D322="","",IFERROR(INDEX(Mentors!$D$2:$D$151,MATCH(D322,Mentors!$A$2:$A$151,0)),"ID not found"))</f>
        <v/>
      </c>
      <c r="F322" s="24">
        <f>IF(D322="","",IFERROR(INDEX(Mentors!$F$2:$F$151,MATCH(D322,Mentors!$A$2:$A$151,0))&amp;"",""))</f>
        <v/>
      </c>
      <c r="G322" s="24">
        <f>IF(D322="","",IFERROR(INDEX(Mentors!$P$2:$P$151,MATCH(D322,Mentors!$A$2:$A$151,0))&amp;"",""))</f>
        <v/>
      </c>
      <c r="H322" s="32" t="n"/>
      <c r="I322" s="32" t="n"/>
      <c r="J322" s="32" t="n"/>
      <c r="K322" s="24">
        <f>IF(B322="","",COUNT(I322:J322))</f>
        <v/>
      </c>
      <c r="L322" s="24" t="n"/>
      <c r="M322" s="24" t="n"/>
      <c r="N322" s="24" t="n"/>
      <c r="O322" s="24" t="n"/>
    </row>
    <row r="323">
      <c r="A323" s="24" t="inlineStr">
        <is>
          <t>M-322</t>
        </is>
      </c>
      <c r="B323" s="24" t="n"/>
      <c r="C323" s="24">
        <f>IF(B323="","",IFERROR(INDEX(Mentees!$D$2:$D$301,MATCH(B323,Mentees!$A$2:$A$301,0)),"ID not found"))</f>
        <v/>
      </c>
      <c r="D323" s="24" t="n"/>
      <c r="E323" s="24">
        <f>IF(D323="","",IFERROR(INDEX(Mentors!$D$2:$D$151,MATCH(D323,Mentors!$A$2:$A$151,0)),"ID not found"))</f>
        <v/>
      </c>
      <c r="F323" s="24">
        <f>IF(D323="","",IFERROR(INDEX(Mentors!$F$2:$F$151,MATCH(D323,Mentors!$A$2:$A$151,0))&amp;"",""))</f>
        <v/>
      </c>
      <c r="G323" s="24">
        <f>IF(D323="","",IFERROR(INDEX(Mentors!$P$2:$P$151,MATCH(D323,Mentors!$A$2:$A$151,0))&amp;"",""))</f>
        <v/>
      </c>
      <c r="H323" s="32" t="n"/>
      <c r="I323" s="32" t="n"/>
      <c r="J323" s="32" t="n"/>
      <c r="K323" s="24">
        <f>IF(B323="","",COUNT(I323:J323))</f>
        <v/>
      </c>
      <c r="L323" s="24" t="n"/>
      <c r="M323" s="24" t="n"/>
      <c r="N323" s="24" t="n"/>
      <c r="O323" s="24" t="n"/>
    </row>
    <row r="324">
      <c r="A324" s="24" t="inlineStr">
        <is>
          <t>M-323</t>
        </is>
      </c>
      <c r="B324" s="24" t="n"/>
      <c r="C324" s="24">
        <f>IF(B324="","",IFERROR(INDEX(Mentees!$D$2:$D$301,MATCH(B324,Mentees!$A$2:$A$301,0)),"ID not found"))</f>
        <v/>
      </c>
      <c r="D324" s="24" t="n"/>
      <c r="E324" s="24">
        <f>IF(D324="","",IFERROR(INDEX(Mentors!$D$2:$D$151,MATCH(D324,Mentors!$A$2:$A$151,0)),"ID not found"))</f>
        <v/>
      </c>
      <c r="F324" s="24">
        <f>IF(D324="","",IFERROR(INDEX(Mentors!$F$2:$F$151,MATCH(D324,Mentors!$A$2:$A$151,0))&amp;"",""))</f>
        <v/>
      </c>
      <c r="G324" s="24">
        <f>IF(D324="","",IFERROR(INDEX(Mentors!$P$2:$P$151,MATCH(D324,Mentors!$A$2:$A$151,0))&amp;"",""))</f>
        <v/>
      </c>
      <c r="H324" s="32" t="n"/>
      <c r="I324" s="32" t="n"/>
      <c r="J324" s="32" t="n"/>
      <c r="K324" s="24">
        <f>IF(B324="","",COUNT(I324:J324))</f>
        <v/>
      </c>
      <c r="L324" s="24" t="n"/>
      <c r="M324" s="24" t="n"/>
      <c r="N324" s="24" t="n"/>
      <c r="O324" s="24" t="n"/>
    </row>
    <row r="325">
      <c r="A325" s="24" t="inlineStr">
        <is>
          <t>M-324</t>
        </is>
      </c>
      <c r="B325" s="24" t="n"/>
      <c r="C325" s="24">
        <f>IF(B325="","",IFERROR(INDEX(Mentees!$D$2:$D$301,MATCH(B325,Mentees!$A$2:$A$301,0)),"ID not found"))</f>
        <v/>
      </c>
      <c r="D325" s="24" t="n"/>
      <c r="E325" s="24">
        <f>IF(D325="","",IFERROR(INDEX(Mentors!$D$2:$D$151,MATCH(D325,Mentors!$A$2:$A$151,0)),"ID not found"))</f>
        <v/>
      </c>
      <c r="F325" s="24">
        <f>IF(D325="","",IFERROR(INDEX(Mentors!$F$2:$F$151,MATCH(D325,Mentors!$A$2:$A$151,0))&amp;"",""))</f>
        <v/>
      </c>
      <c r="G325" s="24">
        <f>IF(D325="","",IFERROR(INDEX(Mentors!$P$2:$P$151,MATCH(D325,Mentors!$A$2:$A$151,0))&amp;"",""))</f>
        <v/>
      </c>
      <c r="H325" s="32" t="n"/>
      <c r="I325" s="32" t="n"/>
      <c r="J325" s="32" t="n"/>
      <c r="K325" s="24">
        <f>IF(B325="","",COUNT(I325:J325))</f>
        <v/>
      </c>
      <c r="L325" s="24" t="n"/>
      <c r="M325" s="24" t="n"/>
      <c r="N325" s="24" t="n"/>
      <c r="O325" s="24" t="n"/>
    </row>
    <row r="326">
      <c r="A326" s="24" t="inlineStr">
        <is>
          <t>M-325</t>
        </is>
      </c>
      <c r="B326" s="24" t="n"/>
      <c r="C326" s="24">
        <f>IF(B326="","",IFERROR(INDEX(Mentees!$D$2:$D$301,MATCH(B326,Mentees!$A$2:$A$301,0)),"ID not found"))</f>
        <v/>
      </c>
      <c r="D326" s="24" t="n"/>
      <c r="E326" s="24">
        <f>IF(D326="","",IFERROR(INDEX(Mentors!$D$2:$D$151,MATCH(D326,Mentors!$A$2:$A$151,0)),"ID not found"))</f>
        <v/>
      </c>
      <c r="F326" s="24">
        <f>IF(D326="","",IFERROR(INDEX(Mentors!$F$2:$F$151,MATCH(D326,Mentors!$A$2:$A$151,0))&amp;"",""))</f>
        <v/>
      </c>
      <c r="G326" s="24">
        <f>IF(D326="","",IFERROR(INDEX(Mentors!$P$2:$P$151,MATCH(D326,Mentors!$A$2:$A$151,0))&amp;"",""))</f>
        <v/>
      </c>
      <c r="H326" s="32" t="n"/>
      <c r="I326" s="32" t="n"/>
      <c r="J326" s="32" t="n"/>
      <c r="K326" s="24">
        <f>IF(B326="","",COUNT(I326:J326))</f>
        <v/>
      </c>
      <c r="L326" s="24" t="n"/>
      <c r="M326" s="24" t="n"/>
      <c r="N326" s="24" t="n"/>
      <c r="O326" s="24" t="n"/>
    </row>
    <row r="327">
      <c r="A327" s="24" t="inlineStr">
        <is>
          <t>M-326</t>
        </is>
      </c>
      <c r="B327" s="24" t="n"/>
      <c r="C327" s="24">
        <f>IF(B327="","",IFERROR(INDEX(Mentees!$D$2:$D$301,MATCH(B327,Mentees!$A$2:$A$301,0)),"ID not found"))</f>
        <v/>
      </c>
      <c r="D327" s="24" t="n"/>
      <c r="E327" s="24">
        <f>IF(D327="","",IFERROR(INDEX(Mentors!$D$2:$D$151,MATCH(D327,Mentors!$A$2:$A$151,0)),"ID not found"))</f>
        <v/>
      </c>
      <c r="F327" s="24">
        <f>IF(D327="","",IFERROR(INDEX(Mentors!$F$2:$F$151,MATCH(D327,Mentors!$A$2:$A$151,0))&amp;"",""))</f>
        <v/>
      </c>
      <c r="G327" s="24">
        <f>IF(D327="","",IFERROR(INDEX(Mentors!$P$2:$P$151,MATCH(D327,Mentors!$A$2:$A$151,0))&amp;"",""))</f>
        <v/>
      </c>
      <c r="H327" s="32" t="n"/>
      <c r="I327" s="32" t="n"/>
      <c r="J327" s="32" t="n"/>
      <c r="K327" s="24">
        <f>IF(B327="","",COUNT(I327:J327))</f>
        <v/>
      </c>
      <c r="L327" s="24" t="n"/>
      <c r="M327" s="24" t="n"/>
      <c r="N327" s="24" t="n"/>
      <c r="O327" s="24" t="n"/>
    </row>
    <row r="328">
      <c r="A328" s="24" t="inlineStr">
        <is>
          <t>M-327</t>
        </is>
      </c>
      <c r="B328" s="24" t="n"/>
      <c r="C328" s="24">
        <f>IF(B328="","",IFERROR(INDEX(Mentees!$D$2:$D$301,MATCH(B328,Mentees!$A$2:$A$301,0)),"ID not found"))</f>
        <v/>
      </c>
      <c r="D328" s="24" t="n"/>
      <c r="E328" s="24">
        <f>IF(D328="","",IFERROR(INDEX(Mentors!$D$2:$D$151,MATCH(D328,Mentors!$A$2:$A$151,0)),"ID not found"))</f>
        <v/>
      </c>
      <c r="F328" s="24">
        <f>IF(D328="","",IFERROR(INDEX(Mentors!$F$2:$F$151,MATCH(D328,Mentors!$A$2:$A$151,0))&amp;"",""))</f>
        <v/>
      </c>
      <c r="G328" s="24">
        <f>IF(D328="","",IFERROR(INDEX(Mentors!$P$2:$P$151,MATCH(D328,Mentors!$A$2:$A$151,0))&amp;"",""))</f>
        <v/>
      </c>
      <c r="H328" s="32" t="n"/>
      <c r="I328" s="32" t="n"/>
      <c r="J328" s="32" t="n"/>
      <c r="K328" s="24">
        <f>IF(B328="","",COUNT(I328:J328))</f>
        <v/>
      </c>
      <c r="L328" s="24" t="n"/>
      <c r="M328" s="24" t="n"/>
      <c r="N328" s="24" t="n"/>
      <c r="O328" s="24" t="n"/>
    </row>
    <row r="329">
      <c r="A329" s="24" t="inlineStr">
        <is>
          <t>M-328</t>
        </is>
      </c>
      <c r="B329" s="24" t="n"/>
      <c r="C329" s="24">
        <f>IF(B329="","",IFERROR(INDEX(Mentees!$D$2:$D$301,MATCH(B329,Mentees!$A$2:$A$301,0)),"ID not found"))</f>
        <v/>
      </c>
      <c r="D329" s="24" t="n"/>
      <c r="E329" s="24">
        <f>IF(D329="","",IFERROR(INDEX(Mentors!$D$2:$D$151,MATCH(D329,Mentors!$A$2:$A$151,0)),"ID not found"))</f>
        <v/>
      </c>
      <c r="F329" s="24">
        <f>IF(D329="","",IFERROR(INDEX(Mentors!$F$2:$F$151,MATCH(D329,Mentors!$A$2:$A$151,0))&amp;"",""))</f>
        <v/>
      </c>
      <c r="G329" s="24">
        <f>IF(D329="","",IFERROR(INDEX(Mentors!$P$2:$P$151,MATCH(D329,Mentors!$A$2:$A$151,0))&amp;"",""))</f>
        <v/>
      </c>
      <c r="H329" s="32" t="n"/>
      <c r="I329" s="32" t="n"/>
      <c r="J329" s="32" t="n"/>
      <c r="K329" s="24">
        <f>IF(B329="","",COUNT(I329:J329))</f>
        <v/>
      </c>
      <c r="L329" s="24" t="n"/>
      <c r="M329" s="24" t="n"/>
      <c r="N329" s="24" t="n"/>
      <c r="O329" s="24" t="n"/>
    </row>
    <row r="330">
      <c r="A330" s="24" t="inlineStr">
        <is>
          <t>M-329</t>
        </is>
      </c>
      <c r="B330" s="24" t="n"/>
      <c r="C330" s="24">
        <f>IF(B330="","",IFERROR(INDEX(Mentees!$D$2:$D$301,MATCH(B330,Mentees!$A$2:$A$301,0)),"ID not found"))</f>
        <v/>
      </c>
      <c r="D330" s="24" t="n"/>
      <c r="E330" s="24">
        <f>IF(D330="","",IFERROR(INDEX(Mentors!$D$2:$D$151,MATCH(D330,Mentors!$A$2:$A$151,0)),"ID not found"))</f>
        <v/>
      </c>
      <c r="F330" s="24">
        <f>IF(D330="","",IFERROR(INDEX(Mentors!$F$2:$F$151,MATCH(D330,Mentors!$A$2:$A$151,0))&amp;"",""))</f>
        <v/>
      </c>
      <c r="G330" s="24">
        <f>IF(D330="","",IFERROR(INDEX(Mentors!$P$2:$P$151,MATCH(D330,Mentors!$A$2:$A$151,0))&amp;"",""))</f>
        <v/>
      </c>
      <c r="H330" s="32" t="n"/>
      <c r="I330" s="32" t="n"/>
      <c r="J330" s="32" t="n"/>
      <c r="K330" s="24">
        <f>IF(B330="","",COUNT(I330:J330))</f>
        <v/>
      </c>
      <c r="L330" s="24" t="n"/>
      <c r="M330" s="24" t="n"/>
      <c r="N330" s="24" t="n"/>
      <c r="O330" s="24" t="n"/>
    </row>
    <row r="331">
      <c r="A331" s="24" t="inlineStr">
        <is>
          <t>M-330</t>
        </is>
      </c>
      <c r="B331" s="24" t="n"/>
      <c r="C331" s="24">
        <f>IF(B331="","",IFERROR(INDEX(Mentees!$D$2:$D$301,MATCH(B331,Mentees!$A$2:$A$301,0)),"ID not found"))</f>
        <v/>
      </c>
      <c r="D331" s="24" t="n"/>
      <c r="E331" s="24">
        <f>IF(D331="","",IFERROR(INDEX(Mentors!$D$2:$D$151,MATCH(D331,Mentors!$A$2:$A$151,0)),"ID not found"))</f>
        <v/>
      </c>
      <c r="F331" s="24">
        <f>IF(D331="","",IFERROR(INDEX(Mentors!$F$2:$F$151,MATCH(D331,Mentors!$A$2:$A$151,0))&amp;"",""))</f>
        <v/>
      </c>
      <c r="G331" s="24">
        <f>IF(D331="","",IFERROR(INDEX(Mentors!$P$2:$P$151,MATCH(D331,Mentors!$A$2:$A$151,0))&amp;"",""))</f>
        <v/>
      </c>
      <c r="H331" s="32" t="n"/>
      <c r="I331" s="32" t="n"/>
      <c r="J331" s="32" t="n"/>
      <c r="K331" s="24">
        <f>IF(B331="","",COUNT(I331:J331))</f>
        <v/>
      </c>
      <c r="L331" s="24" t="n"/>
      <c r="M331" s="24" t="n"/>
      <c r="N331" s="24" t="n"/>
      <c r="O331" s="24" t="n"/>
    </row>
    <row r="332">
      <c r="A332" s="24" t="inlineStr">
        <is>
          <t>M-331</t>
        </is>
      </c>
      <c r="B332" s="24" t="n"/>
      <c r="C332" s="24">
        <f>IF(B332="","",IFERROR(INDEX(Mentees!$D$2:$D$301,MATCH(B332,Mentees!$A$2:$A$301,0)),"ID not found"))</f>
        <v/>
      </c>
      <c r="D332" s="24" t="n"/>
      <c r="E332" s="24">
        <f>IF(D332="","",IFERROR(INDEX(Mentors!$D$2:$D$151,MATCH(D332,Mentors!$A$2:$A$151,0)),"ID not found"))</f>
        <v/>
      </c>
      <c r="F332" s="24">
        <f>IF(D332="","",IFERROR(INDEX(Mentors!$F$2:$F$151,MATCH(D332,Mentors!$A$2:$A$151,0))&amp;"",""))</f>
        <v/>
      </c>
      <c r="G332" s="24">
        <f>IF(D332="","",IFERROR(INDEX(Mentors!$P$2:$P$151,MATCH(D332,Mentors!$A$2:$A$151,0))&amp;"",""))</f>
        <v/>
      </c>
      <c r="H332" s="32" t="n"/>
      <c r="I332" s="32" t="n"/>
      <c r="J332" s="32" t="n"/>
      <c r="K332" s="24">
        <f>IF(B332="","",COUNT(I332:J332))</f>
        <v/>
      </c>
      <c r="L332" s="24" t="n"/>
      <c r="M332" s="24" t="n"/>
      <c r="N332" s="24" t="n"/>
      <c r="O332" s="24" t="n"/>
    </row>
    <row r="333">
      <c r="A333" s="24" t="inlineStr">
        <is>
          <t>M-332</t>
        </is>
      </c>
      <c r="B333" s="24" t="n"/>
      <c r="C333" s="24">
        <f>IF(B333="","",IFERROR(INDEX(Mentees!$D$2:$D$301,MATCH(B333,Mentees!$A$2:$A$301,0)),"ID not found"))</f>
        <v/>
      </c>
      <c r="D333" s="24" t="n"/>
      <c r="E333" s="24">
        <f>IF(D333="","",IFERROR(INDEX(Mentors!$D$2:$D$151,MATCH(D333,Mentors!$A$2:$A$151,0)),"ID not found"))</f>
        <v/>
      </c>
      <c r="F333" s="24">
        <f>IF(D333="","",IFERROR(INDEX(Mentors!$F$2:$F$151,MATCH(D333,Mentors!$A$2:$A$151,0))&amp;"",""))</f>
        <v/>
      </c>
      <c r="G333" s="24">
        <f>IF(D333="","",IFERROR(INDEX(Mentors!$P$2:$P$151,MATCH(D333,Mentors!$A$2:$A$151,0))&amp;"",""))</f>
        <v/>
      </c>
      <c r="H333" s="32" t="n"/>
      <c r="I333" s="32" t="n"/>
      <c r="J333" s="32" t="n"/>
      <c r="K333" s="24">
        <f>IF(B333="","",COUNT(I333:J333))</f>
        <v/>
      </c>
      <c r="L333" s="24" t="n"/>
      <c r="M333" s="24" t="n"/>
      <c r="N333" s="24" t="n"/>
      <c r="O333" s="24" t="n"/>
    </row>
    <row r="334">
      <c r="A334" s="24" t="inlineStr">
        <is>
          <t>M-333</t>
        </is>
      </c>
      <c r="B334" s="24" t="n"/>
      <c r="C334" s="24">
        <f>IF(B334="","",IFERROR(INDEX(Mentees!$D$2:$D$301,MATCH(B334,Mentees!$A$2:$A$301,0)),"ID not found"))</f>
        <v/>
      </c>
      <c r="D334" s="24" t="n"/>
      <c r="E334" s="24">
        <f>IF(D334="","",IFERROR(INDEX(Mentors!$D$2:$D$151,MATCH(D334,Mentors!$A$2:$A$151,0)),"ID not found"))</f>
        <v/>
      </c>
      <c r="F334" s="24">
        <f>IF(D334="","",IFERROR(INDEX(Mentors!$F$2:$F$151,MATCH(D334,Mentors!$A$2:$A$151,0))&amp;"",""))</f>
        <v/>
      </c>
      <c r="G334" s="24">
        <f>IF(D334="","",IFERROR(INDEX(Mentors!$P$2:$P$151,MATCH(D334,Mentors!$A$2:$A$151,0))&amp;"",""))</f>
        <v/>
      </c>
      <c r="H334" s="32" t="n"/>
      <c r="I334" s="32" t="n"/>
      <c r="J334" s="32" t="n"/>
      <c r="K334" s="24">
        <f>IF(B334="","",COUNT(I334:J334))</f>
        <v/>
      </c>
      <c r="L334" s="24" t="n"/>
      <c r="M334" s="24" t="n"/>
      <c r="N334" s="24" t="n"/>
      <c r="O334" s="24" t="n"/>
    </row>
    <row r="335">
      <c r="A335" s="24" t="inlineStr">
        <is>
          <t>M-334</t>
        </is>
      </c>
      <c r="B335" s="24" t="n"/>
      <c r="C335" s="24">
        <f>IF(B335="","",IFERROR(INDEX(Mentees!$D$2:$D$301,MATCH(B335,Mentees!$A$2:$A$301,0)),"ID not found"))</f>
        <v/>
      </c>
      <c r="D335" s="24" t="n"/>
      <c r="E335" s="24">
        <f>IF(D335="","",IFERROR(INDEX(Mentors!$D$2:$D$151,MATCH(D335,Mentors!$A$2:$A$151,0)),"ID not found"))</f>
        <v/>
      </c>
      <c r="F335" s="24">
        <f>IF(D335="","",IFERROR(INDEX(Mentors!$F$2:$F$151,MATCH(D335,Mentors!$A$2:$A$151,0))&amp;"",""))</f>
        <v/>
      </c>
      <c r="G335" s="24">
        <f>IF(D335="","",IFERROR(INDEX(Mentors!$P$2:$P$151,MATCH(D335,Mentors!$A$2:$A$151,0))&amp;"",""))</f>
        <v/>
      </c>
      <c r="H335" s="32" t="n"/>
      <c r="I335" s="32" t="n"/>
      <c r="J335" s="32" t="n"/>
      <c r="K335" s="24">
        <f>IF(B335="","",COUNT(I335:J335))</f>
        <v/>
      </c>
      <c r="L335" s="24" t="n"/>
      <c r="M335" s="24" t="n"/>
      <c r="N335" s="24" t="n"/>
      <c r="O335" s="24" t="n"/>
    </row>
    <row r="336">
      <c r="A336" s="24" t="inlineStr">
        <is>
          <t>M-335</t>
        </is>
      </c>
      <c r="B336" s="24" t="n"/>
      <c r="C336" s="24">
        <f>IF(B336="","",IFERROR(INDEX(Mentees!$D$2:$D$301,MATCH(B336,Mentees!$A$2:$A$301,0)),"ID not found"))</f>
        <v/>
      </c>
      <c r="D336" s="24" t="n"/>
      <c r="E336" s="24">
        <f>IF(D336="","",IFERROR(INDEX(Mentors!$D$2:$D$151,MATCH(D336,Mentors!$A$2:$A$151,0)),"ID not found"))</f>
        <v/>
      </c>
      <c r="F336" s="24">
        <f>IF(D336="","",IFERROR(INDEX(Mentors!$F$2:$F$151,MATCH(D336,Mentors!$A$2:$A$151,0))&amp;"",""))</f>
        <v/>
      </c>
      <c r="G336" s="24">
        <f>IF(D336="","",IFERROR(INDEX(Mentors!$P$2:$P$151,MATCH(D336,Mentors!$A$2:$A$151,0))&amp;"",""))</f>
        <v/>
      </c>
      <c r="H336" s="32" t="n"/>
      <c r="I336" s="32" t="n"/>
      <c r="J336" s="32" t="n"/>
      <c r="K336" s="24">
        <f>IF(B336="","",COUNT(I336:J336))</f>
        <v/>
      </c>
      <c r="L336" s="24" t="n"/>
      <c r="M336" s="24" t="n"/>
      <c r="N336" s="24" t="n"/>
      <c r="O336" s="24" t="n"/>
    </row>
    <row r="337">
      <c r="A337" s="24" t="inlineStr">
        <is>
          <t>M-336</t>
        </is>
      </c>
      <c r="B337" s="24" t="n"/>
      <c r="C337" s="24">
        <f>IF(B337="","",IFERROR(INDEX(Mentees!$D$2:$D$301,MATCH(B337,Mentees!$A$2:$A$301,0)),"ID not found"))</f>
        <v/>
      </c>
      <c r="D337" s="24" t="n"/>
      <c r="E337" s="24">
        <f>IF(D337="","",IFERROR(INDEX(Mentors!$D$2:$D$151,MATCH(D337,Mentors!$A$2:$A$151,0)),"ID not found"))</f>
        <v/>
      </c>
      <c r="F337" s="24">
        <f>IF(D337="","",IFERROR(INDEX(Mentors!$F$2:$F$151,MATCH(D337,Mentors!$A$2:$A$151,0))&amp;"",""))</f>
        <v/>
      </c>
      <c r="G337" s="24">
        <f>IF(D337="","",IFERROR(INDEX(Mentors!$P$2:$P$151,MATCH(D337,Mentors!$A$2:$A$151,0))&amp;"",""))</f>
        <v/>
      </c>
      <c r="H337" s="32" t="n"/>
      <c r="I337" s="32" t="n"/>
      <c r="J337" s="32" t="n"/>
      <c r="K337" s="24">
        <f>IF(B337="","",COUNT(I337:J337))</f>
        <v/>
      </c>
      <c r="L337" s="24" t="n"/>
      <c r="M337" s="24" t="n"/>
      <c r="N337" s="24" t="n"/>
      <c r="O337" s="24" t="n"/>
    </row>
    <row r="338">
      <c r="A338" s="24" t="inlineStr">
        <is>
          <t>M-337</t>
        </is>
      </c>
      <c r="B338" s="24" t="n"/>
      <c r="C338" s="24">
        <f>IF(B338="","",IFERROR(INDEX(Mentees!$D$2:$D$301,MATCH(B338,Mentees!$A$2:$A$301,0)),"ID not found"))</f>
        <v/>
      </c>
      <c r="D338" s="24" t="n"/>
      <c r="E338" s="24">
        <f>IF(D338="","",IFERROR(INDEX(Mentors!$D$2:$D$151,MATCH(D338,Mentors!$A$2:$A$151,0)),"ID not found"))</f>
        <v/>
      </c>
      <c r="F338" s="24">
        <f>IF(D338="","",IFERROR(INDEX(Mentors!$F$2:$F$151,MATCH(D338,Mentors!$A$2:$A$151,0))&amp;"",""))</f>
        <v/>
      </c>
      <c r="G338" s="24">
        <f>IF(D338="","",IFERROR(INDEX(Mentors!$P$2:$P$151,MATCH(D338,Mentors!$A$2:$A$151,0))&amp;"",""))</f>
        <v/>
      </c>
      <c r="H338" s="32" t="n"/>
      <c r="I338" s="32" t="n"/>
      <c r="J338" s="32" t="n"/>
      <c r="K338" s="24">
        <f>IF(B338="","",COUNT(I338:J338))</f>
        <v/>
      </c>
      <c r="L338" s="24" t="n"/>
      <c r="M338" s="24" t="n"/>
      <c r="N338" s="24" t="n"/>
      <c r="O338" s="24" t="n"/>
    </row>
    <row r="339">
      <c r="A339" s="24" t="inlineStr">
        <is>
          <t>M-338</t>
        </is>
      </c>
      <c r="B339" s="24" t="n"/>
      <c r="C339" s="24">
        <f>IF(B339="","",IFERROR(INDEX(Mentees!$D$2:$D$301,MATCH(B339,Mentees!$A$2:$A$301,0)),"ID not found"))</f>
        <v/>
      </c>
      <c r="D339" s="24" t="n"/>
      <c r="E339" s="24">
        <f>IF(D339="","",IFERROR(INDEX(Mentors!$D$2:$D$151,MATCH(D339,Mentors!$A$2:$A$151,0)),"ID not found"))</f>
        <v/>
      </c>
      <c r="F339" s="24">
        <f>IF(D339="","",IFERROR(INDEX(Mentors!$F$2:$F$151,MATCH(D339,Mentors!$A$2:$A$151,0))&amp;"",""))</f>
        <v/>
      </c>
      <c r="G339" s="24">
        <f>IF(D339="","",IFERROR(INDEX(Mentors!$P$2:$P$151,MATCH(D339,Mentors!$A$2:$A$151,0))&amp;"",""))</f>
        <v/>
      </c>
      <c r="H339" s="32" t="n"/>
      <c r="I339" s="32" t="n"/>
      <c r="J339" s="32" t="n"/>
      <c r="K339" s="24">
        <f>IF(B339="","",COUNT(I339:J339))</f>
        <v/>
      </c>
      <c r="L339" s="24" t="n"/>
      <c r="M339" s="24" t="n"/>
      <c r="N339" s="24" t="n"/>
      <c r="O339" s="24" t="n"/>
    </row>
    <row r="340">
      <c r="A340" s="24" t="inlineStr">
        <is>
          <t>M-339</t>
        </is>
      </c>
      <c r="B340" s="24" t="n"/>
      <c r="C340" s="24">
        <f>IF(B340="","",IFERROR(INDEX(Mentees!$D$2:$D$301,MATCH(B340,Mentees!$A$2:$A$301,0)),"ID not found"))</f>
        <v/>
      </c>
      <c r="D340" s="24" t="n"/>
      <c r="E340" s="24">
        <f>IF(D340="","",IFERROR(INDEX(Mentors!$D$2:$D$151,MATCH(D340,Mentors!$A$2:$A$151,0)),"ID not found"))</f>
        <v/>
      </c>
      <c r="F340" s="24">
        <f>IF(D340="","",IFERROR(INDEX(Mentors!$F$2:$F$151,MATCH(D340,Mentors!$A$2:$A$151,0))&amp;"",""))</f>
        <v/>
      </c>
      <c r="G340" s="24">
        <f>IF(D340="","",IFERROR(INDEX(Mentors!$P$2:$P$151,MATCH(D340,Mentors!$A$2:$A$151,0))&amp;"",""))</f>
        <v/>
      </c>
      <c r="H340" s="32" t="n"/>
      <c r="I340" s="32" t="n"/>
      <c r="J340" s="32" t="n"/>
      <c r="K340" s="24">
        <f>IF(B340="","",COUNT(I340:J340))</f>
        <v/>
      </c>
      <c r="L340" s="24" t="n"/>
      <c r="M340" s="24" t="n"/>
      <c r="N340" s="24" t="n"/>
      <c r="O340" s="24" t="n"/>
    </row>
    <row r="341">
      <c r="A341" s="24" t="inlineStr">
        <is>
          <t>M-340</t>
        </is>
      </c>
      <c r="B341" s="24" t="n"/>
      <c r="C341" s="24">
        <f>IF(B341="","",IFERROR(INDEX(Mentees!$D$2:$D$301,MATCH(B341,Mentees!$A$2:$A$301,0)),"ID not found"))</f>
        <v/>
      </c>
      <c r="D341" s="24" t="n"/>
      <c r="E341" s="24">
        <f>IF(D341="","",IFERROR(INDEX(Mentors!$D$2:$D$151,MATCH(D341,Mentors!$A$2:$A$151,0)),"ID not found"))</f>
        <v/>
      </c>
      <c r="F341" s="24">
        <f>IF(D341="","",IFERROR(INDEX(Mentors!$F$2:$F$151,MATCH(D341,Mentors!$A$2:$A$151,0))&amp;"",""))</f>
        <v/>
      </c>
      <c r="G341" s="24">
        <f>IF(D341="","",IFERROR(INDEX(Mentors!$P$2:$P$151,MATCH(D341,Mentors!$A$2:$A$151,0))&amp;"",""))</f>
        <v/>
      </c>
      <c r="H341" s="32" t="n"/>
      <c r="I341" s="32" t="n"/>
      <c r="J341" s="32" t="n"/>
      <c r="K341" s="24">
        <f>IF(B341="","",COUNT(I341:J341))</f>
        <v/>
      </c>
      <c r="L341" s="24" t="n"/>
      <c r="M341" s="24" t="n"/>
      <c r="N341" s="24" t="n"/>
      <c r="O341" s="24" t="n"/>
    </row>
    <row r="342">
      <c r="A342" s="24" t="inlineStr">
        <is>
          <t>M-341</t>
        </is>
      </c>
      <c r="B342" s="24" t="n"/>
      <c r="C342" s="24">
        <f>IF(B342="","",IFERROR(INDEX(Mentees!$D$2:$D$301,MATCH(B342,Mentees!$A$2:$A$301,0)),"ID not found"))</f>
        <v/>
      </c>
      <c r="D342" s="24" t="n"/>
      <c r="E342" s="24">
        <f>IF(D342="","",IFERROR(INDEX(Mentors!$D$2:$D$151,MATCH(D342,Mentors!$A$2:$A$151,0)),"ID not found"))</f>
        <v/>
      </c>
      <c r="F342" s="24">
        <f>IF(D342="","",IFERROR(INDEX(Mentors!$F$2:$F$151,MATCH(D342,Mentors!$A$2:$A$151,0))&amp;"",""))</f>
        <v/>
      </c>
      <c r="G342" s="24">
        <f>IF(D342="","",IFERROR(INDEX(Mentors!$P$2:$P$151,MATCH(D342,Mentors!$A$2:$A$151,0))&amp;"",""))</f>
        <v/>
      </c>
      <c r="H342" s="32" t="n"/>
      <c r="I342" s="32" t="n"/>
      <c r="J342" s="32" t="n"/>
      <c r="K342" s="24">
        <f>IF(B342="","",COUNT(I342:J342))</f>
        <v/>
      </c>
      <c r="L342" s="24" t="n"/>
      <c r="M342" s="24" t="n"/>
      <c r="N342" s="24" t="n"/>
      <c r="O342" s="24" t="n"/>
    </row>
    <row r="343">
      <c r="A343" s="24" t="inlineStr">
        <is>
          <t>M-342</t>
        </is>
      </c>
      <c r="B343" s="24" t="n"/>
      <c r="C343" s="24">
        <f>IF(B343="","",IFERROR(INDEX(Mentees!$D$2:$D$301,MATCH(B343,Mentees!$A$2:$A$301,0)),"ID not found"))</f>
        <v/>
      </c>
      <c r="D343" s="24" t="n"/>
      <c r="E343" s="24">
        <f>IF(D343="","",IFERROR(INDEX(Mentors!$D$2:$D$151,MATCH(D343,Mentors!$A$2:$A$151,0)),"ID not found"))</f>
        <v/>
      </c>
      <c r="F343" s="24">
        <f>IF(D343="","",IFERROR(INDEX(Mentors!$F$2:$F$151,MATCH(D343,Mentors!$A$2:$A$151,0))&amp;"",""))</f>
        <v/>
      </c>
      <c r="G343" s="24">
        <f>IF(D343="","",IFERROR(INDEX(Mentors!$P$2:$P$151,MATCH(D343,Mentors!$A$2:$A$151,0))&amp;"",""))</f>
        <v/>
      </c>
      <c r="H343" s="32" t="n"/>
      <c r="I343" s="32" t="n"/>
      <c r="J343" s="32" t="n"/>
      <c r="K343" s="24">
        <f>IF(B343="","",COUNT(I343:J343))</f>
        <v/>
      </c>
      <c r="L343" s="24" t="n"/>
      <c r="M343" s="24" t="n"/>
      <c r="N343" s="24" t="n"/>
      <c r="O343" s="24" t="n"/>
    </row>
    <row r="344">
      <c r="A344" s="24" t="inlineStr">
        <is>
          <t>M-343</t>
        </is>
      </c>
      <c r="B344" s="24" t="n"/>
      <c r="C344" s="24">
        <f>IF(B344="","",IFERROR(INDEX(Mentees!$D$2:$D$301,MATCH(B344,Mentees!$A$2:$A$301,0)),"ID not found"))</f>
        <v/>
      </c>
      <c r="D344" s="24" t="n"/>
      <c r="E344" s="24">
        <f>IF(D344="","",IFERROR(INDEX(Mentors!$D$2:$D$151,MATCH(D344,Mentors!$A$2:$A$151,0)),"ID not found"))</f>
        <v/>
      </c>
      <c r="F344" s="24">
        <f>IF(D344="","",IFERROR(INDEX(Mentors!$F$2:$F$151,MATCH(D344,Mentors!$A$2:$A$151,0))&amp;"",""))</f>
        <v/>
      </c>
      <c r="G344" s="24">
        <f>IF(D344="","",IFERROR(INDEX(Mentors!$P$2:$P$151,MATCH(D344,Mentors!$A$2:$A$151,0))&amp;"",""))</f>
        <v/>
      </c>
      <c r="H344" s="32" t="n"/>
      <c r="I344" s="32" t="n"/>
      <c r="J344" s="32" t="n"/>
      <c r="K344" s="24">
        <f>IF(B344="","",COUNT(I344:J344))</f>
        <v/>
      </c>
      <c r="L344" s="24" t="n"/>
      <c r="M344" s="24" t="n"/>
      <c r="N344" s="24" t="n"/>
      <c r="O344" s="24" t="n"/>
    </row>
    <row r="345">
      <c r="A345" s="24" t="inlineStr">
        <is>
          <t>M-344</t>
        </is>
      </c>
      <c r="B345" s="24" t="n"/>
      <c r="C345" s="24">
        <f>IF(B345="","",IFERROR(INDEX(Mentees!$D$2:$D$301,MATCH(B345,Mentees!$A$2:$A$301,0)),"ID not found"))</f>
        <v/>
      </c>
      <c r="D345" s="24" t="n"/>
      <c r="E345" s="24">
        <f>IF(D345="","",IFERROR(INDEX(Mentors!$D$2:$D$151,MATCH(D345,Mentors!$A$2:$A$151,0)),"ID not found"))</f>
        <v/>
      </c>
      <c r="F345" s="24">
        <f>IF(D345="","",IFERROR(INDEX(Mentors!$F$2:$F$151,MATCH(D345,Mentors!$A$2:$A$151,0))&amp;"",""))</f>
        <v/>
      </c>
      <c r="G345" s="24">
        <f>IF(D345="","",IFERROR(INDEX(Mentors!$P$2:$P$151,MATCH(D345,Mentors!$A$2:$A$151,0))&amp;"",""))</f>
        <v/>
      </c>
      <c r="H345" s="32" t="n"/>
      <c r="I345" s="32" t="n"/>
      <c r="J345" s="32" t="n"/>
      <c r="K345" s="24">
        <f>IF(B345="","",COUNT(I345:J345))</f>
        <v/>
      </c>
      <c r="L345" s="24" t="n"/>
      <c r="M345" s="24" t="n"/>
      <c r="N345" s="24" t="n"/>
      <c r="O345" s="24" t="n"/>
    </row>
    <row r="346">
      <c r="A346" s="24" t="inlineStr">
        <is>
          <t>M-345</t>
        </is>
      </c>
      <c r="B346" s="24" t="n"/>
      <c r="C346" s="24">
        <f>IF(B346="","",IFERROR(INDEX(Mentees!$D$2:$D$301,MATCH(B346,Mentees!$A$2:$A$301,0)),"ID not found"))</f>
        <v/>
      </c>
      <c r="D346" s="24" t="n"/>
      <c r="E346" s="24">
        <f>IF(D346="","",IFERROR(INDEX(Mentors!$D$2:$D$151,MATCH(D346,Mentors!$A$2:$A$151,0)),"ID not found"))</f>
        <v/>
      </c>
      <c r="F346" s="24">
        <f>IF(D346="","",IFERROR(INDEX(Mentors!$F$2:$F$151,MATCH(D346,Mentors!$A$2:$A$151,0))&amp;"",""))</f>
        <v/>
      </c>
      <c r="G346" s="24">
        <f>IF(D346="","",IFERROR(INDEX(Mentors!$P$2:$P$151,MATCH(D346,Mentors!$A$2:$A$151,0))&amp;"",""))</f>
        <v/>
      </c>
      <c r="H346" s="32" t="n"/>
      <c r="I346" s="32" t="n"/>
      <c r="J346" s="32" t="n"/>
      <c r="K346" s="24">
        <f>IF(B346="","",COUNT(I346:J346))</f>
        <v/>
      </c>
      <c r="L346" s="24" t="n"/>
      <c r="M346" s="24" t="n"/>
      <c r="N346" s="24" t="n"/>
      <c r="O346" s="24" t="n"/>
    </row>
    <row r="347">
      <c r="A347" s="24" t="inlineStr">
        <is>
          <t>M-346</t>
        </is>
      </c>
      <c r="B347" s="24" t="n"/>
      <c r="C347" s="24">
        <f>IF(B347="","",IFERROR(INDEX(Mentees!$D$2:$D$301,MATCH(B347,Mentees!$A$2:$A$301,0)),"ID not found"))</f>
        <v/>
      </c>
      <c r="D347" s="24" t="n"/>
      <c r="E347" s="24">
        <f>IF(D347="","",IFERROR(INDEX(Mentors!$D$2:$D$151,MATCH(D347,Mentors!$A$2:$A$151,0)),"ID not found"))</f>
        <v/>
      </c>
      <c r="F347" s="24">
        <f>IF(D347="","",IFERROR(INDEX(Mentors!$F$2:$F$151,MATCH(D347,Mentors!$A$2:$A$151,0))&amp;"",""))</f>
        <v/>
      </c>
      <c r="G347" s="24">
        <f>IF(D347="","",IFERROR(INDEX(Mentors!$P$2:$P$151,MATCH(D347,Mentors!$A$2:$A$151,0))&amp;"",""))</f>
        <v/>
      </c>
      <c r="H347" s="32" t="n"/>
      <c r="I347" s="32" t="n"/>
      <c r="J347" s="32" t="n"/>
      <c r="K347" s="24">
        <f>IF(B347="","",COUNT(I347:J347))</f>
        <v/>
      </c>
      <c r="L347" s="24" t="n"/>
      <c r="M347" s="24" t="n"/>
      <c r="N347" s="24" t="n"/>
      <c r="O347" s="24" t="n"/>
    </row>
    <row r="348">
      <c r="A348" s="24" t="inlineStr">
        <is>
          <t>M-347</t>
        </is>
      </c>
      <c r="B348" s="24" t="n"/>
      <c r="C348" s="24">
        <f>IF(B348="","",IFERROR(INDEX(Mentees!$D$2:$D$301,MATCH(B348,Mentees!$A$2:$A$301,0)),"ID not found"))</f>
        <v/>
      </c>
      <c r="D348" s="24" t="n"/>
      <c r="E348" s="24">
        <f>IF(D348="","",IFERROR(INDEX(Mentors!$D$2:$D$151,MATCH(D348,Mentors!$A$2:$A$151,0)),"ID not found"))</f>
        <v/>
      </c>
      <c r="F348" s="24">
        <f>IF(D348="","",IFERROR(INDEX(Mentors!$F$2:$F$151,MATCH(D348,Mentors!$A$2:$A$151,0))&amp;"",""))</f>
        <v/>
      </c>
      <c r="G348" s="24">
        <f>IF(D348="","",IFERROR(INDEX(Mentors!$P$2:$P$151,MATCH(D348,Mentors!$A$2:$A$151,0))&amp;"",""))</f>
        <v/>
      </c>
      <c r="H348" s="32" t="n"/>
      <c r="I348" s="32" t="n"/>
      <c r="J348" s="32" t="n"/>
      <c r="K348" s="24">
        <f>IF(B348="","",COUNT(I348:J348))</f>
        <v/>
      </c>
      <c r="L348" s="24" t="n"/>
      <c r="M348" s="24" t="n"/>
      <c r="N348" s="24" t="n"/>
      <c r="O348" s="24" t="n"/>
    </row>
    <row r="349">
      <c r="A349" s="24" t="inlineStr">
        <is>
          <t>M-348</t>
        </is>
      </c>
      <c r="B349" s="24" t="n"/>
      <c r="C349" s="24">
        <f>IF(B349="","",IFERROR(INDEX(Mentees!$D$2:$D$301,MATCH(B349,Mentees!$A$2:$A$301,0)),"ID not found"))</f>
        <v/>
      </c>
      <c r="D349" s="24" t="n"/>
      <c r="E349" s="24">
        <f>IF(D349="","",IFERROR(INDEX(Mentors!$D$2:$D$151,MATCH(D349,Mentors!$A$2:$A$151,0)),"ID not found"))</f>
        <v/>
      </c>
      <c r="F349" s="24">
        <f>IF(D349="","",IFERROR(INDEX(Mentors!$F$2:$F$151,MATCH(D349,Mentors!$A$2:$A$151,0))&amp;"",""))</f>
        <v/>
      </c>
      <c r="G349" s="24">
        <f>IF(D349="","",IFERROR(INDEX(Mentors!$P$2:$P$151,MATCH(D349,Mentors!$A$2:$A$151,0))&amp;"",""))</f>
        <v/>
      </c>
      <c r="H349" s="32" t="n"/>
      <c r="I349" s="32" t="n"/>
      <c r="J349" s="32" t="n"/>
      <c r="K349" s="24">
        <f>IF(B349="","",COUNT(I349:J349))</f>
        <v/>
      </c>
      <c r="L349" s="24" t="n"/>
      <c r="M349" s="24" t="n"/>
      <c r="N349" s="24" t="n"/>
      <c r="O349" s="24" t="n"/>
    </row>
    <row r="350">
      <c r="A350" s="24" t="inlineStr">
        <is>
          <t>M-349</t>
        </is>
      </c>
      <c r="B350" s="24" t="n"/>
      <c r="C350" s="24">
        <f>IF(B350="","",IFERROR(INDEX(Mentees!$D$2:$D$301,MATCH(B350,Mentees!$A$2:$A$301,0)),"ID not found"))</f>
        <v/>
      </c>
      <c r="D350" s="24" t="n"/>
      <c r="E350" s="24">
        <f>IF(D350="","",IFERROR(INDEX(Mentors!$D$2:$D$151,MATCH(D350,Mentors!$A$2:$A$151,0)),"ID not found"))</f>
        <v/>
      </c>
      <c r="F350" s="24">
        <f>IF(D350="","",IFERROR(INDEX(Mentors!$F$2:$F$151,MATCH(D350,Mentors!$A$2:$A$151,0))&amp;"",""))</f>
        <v/>
      </c>
      <c r="G350" s="24">
        <f>IF(D350="","",IFERROR(INDEX(Mentors!$P$2:$P$151,MATCH(D350,Mentors!$A$2:$A$151,0))&amp;"",""))</f>
        <v/>
      </c>
      <c r="H350" s="32" t="n"/>
      <c r="I350" s="32" t="n"/>
      <c r="J350" s="32" t="n"/>
      <c r="K350" s="24">
        <f>IF(B350="","",COUNT(I350:J350))</f>
        <v/>
      </c>
      <c r="L350" s="24" t="n"/>
      <c r="M350" s="24" t="n"/>
      <c r="N350" s="24" t="n"/>
      <c r="O350" s="24" t="n"/>
    </row>
    <row r="351">
      <c r="A351" s="24" t="inlineStr">
        <is>
          <t>M-350</t>
        </is>
      </c>
      <c r="B351" s="24" t="n"/>
      <c r="C351" s="24">
        <f>IF(B351="","",IFERROR(INDEX(Mentees!$D$2:$D$301,MATCH(B351,Mentees!$A$2:$A$301,0)),"ID not found"))</f>
        <v/>
      </c>
      <c r="D351" s="24" t="n"/>
      <c r="E351" s="24">
        <f>IF(D351="","",IFERROR(INDEX(Mentors!$D$2:$D$151,MATCH(D351,Mentors!$A$2:$A$151,0)),"ID not found"))</f>
        <v/>
      </c>
      <c r="F351" s="24">
        <f>IF(D351="","",IFERROR(INDEX(Mentors!$F$2:$F$151,MATCH(D351,Mentors!$A$2:$A$151,0))&amp;"",""))</f>
        <v/>
      </c>
      <c r="G351" s="24">
        <f>IF(D351="","",IFERROR(INDEX(Mentors!$P$2:$P$151,MATCH(D351,Mentors!$A$2:$A$151,0))&amp;"",""))</f>
        <v/>
      </c>
      <c r="H351" s="32" t="n"/>
      <c r="I351" s="32" t="n"/>
      <c r="J351" s="32" t="n"/>
      <c r="K351" s="24">
        <f>IF(B351="","",COUNT(I351:J351))</f>
        <v/>
      </c>
      <c r="L351" s="24" t="n"/>
      <c r="M351" s="24" t="n"/>
      <c r="N351" s="24" t="n"/>
      <c r="O351" s="24" t="n"/>
    </row>
    <row r="352">
      <c r="A352" s="24" t="inlineStr">
        <is>
          <t>M-351</t>
        </is>
      </c>
      <c r="B352" s="24" t="n"/>
      <c r="C352" s="24">
        <f>IF(B352="","",IFERROR(INDEX(Mentees!$D$2:$D$301,MATCH(B352,Mentees!$A$2:$A$301,0)),"ID not found"))</f>
        <v/>
      </c>
      <c r="D352" s="24" t="n"/>
      <c r="E352" s="24">
        <f>IF(D352="","",IFERROR(INDEX(Mentors!$D$2:$D$151,MATCH(D352,Mentors!$A$2:$A$151,0)),"ID not found"))</f>
        <v/>
      </c>
      <c r="F352" s="24">
        <f>IF(D352="","",IFERROR(INDEX(Mentors!$F$2:$F$151,MATCH(D352,Mentors!$A$2:$A$151,0))&amp;"",""))</f>
        <v/>
      </c>
      <c r="G352" s="24">
        <f>IF(D352="","",IFERROR(INDEX(Mentors!$P$2:$P$151,MATCH(D352,Mentors!$A$2:$A$151,0))&amp;"",""))</f>
        <v/>
      </c>
      <c r="H352" s="32" t="n"/>
      <c r="I352" s="32" t="n"/>
      <c r="J352" s="32" t="n"/>
      <c r="K352" s="24">
        <f>IF(B352="","",COUNT(I352:J352))</f>
        <v/>
      </c>
      <c r="L352" s="24" t="n"/>
      <c r="M352" s="24" t="n"/>
      <c r="N352" s="24" t="n"/>
      <c r="O352" s="24" t="n"/>
    </row>
    <row r="353">
      <c r="A353" s="24" t="inlineStr">
        <is>
          <t>M-352</t>
        </is>
      </c>
      <c r="B353" s="24" t="n"/>
      <c r="C353" s="24">
        <f>IF(B353="","",IFERROR(INDEX(Mentees!$D$2:$D$301,MATCH(B353,Mentees!$A$2:$A$301,0)),"ID not found"))</f>
        <v/>
      </c>
      <c r="D353" s="24" t="n"/>
      <c r="E353" s="24">
        <f>IF(D353="","",IFERROR(INDEX(Mentors!$D$2:$D$151,MATCH(D353,Mentors!$A$2:$A$151,0)),"ID not found"))</f>
        <v/>
      </c>
      <c r="F353" s="24">
        <f>IF(D353="","",IFERROR(INDEX(Mentors!$F$2:$F$151,MATCH(D353,Mentors!$A$2:$A$151,0))&amp;"",""))</f>
        <v/>
      </c>
      <c r="G353" s="24">
        <f>IF(D353="","",IFERROR(INDEX(Mentors!$P$2:$P$151,MATCH(D353,Mentors!$A$2:$A$151,0))&amp;"",""))</f>
        <v/>
      </c>
      <c r="H353" s="32" t="n"/>
      <c r="I353" s="32" t="n"/>
      <c r="J353" s="32" t="n"/>
      <c r="K353" s="24">
        <f>IF(B353="","",COUNT(I353:J353))</f>
        <v/>
      </c>
      <c r="L353" s="24" t="n"/>
      <c r="M353" s="24" t="n"/>
      <c r="N353" s="24" t="n"/>
      <c r="O353" s="24" t="n"/>
    </row>
    <row r="354">
      <c r="A354" s="24" t="inlineStr">
        <is>
          <t>M-353</t>
        </is>
      </c>
      <c r="B354" s="24" t="n"/>
      <c r="C354" s="24">
        <f>IF(B354="","",IFERROR(INDEX(Mentees!$D$2:$D$301,MATCH(B354,Mentees!$A$2:$A$301,0)),"ID not found"))</f>
        <v/>
      </c>
      <c r="D354" s="24" t="n"/>
      <c r="E354" s="24">
        <f>IF(D354="","",IFERROR(INDEX(Mentors!$D$2:$D$151,MATCH(D354,Mentors!$A$2:$A$151,0)),"ID not found"))</f>
        <v/>
      </c>
      <c r="F354" s="24">
        <f>IF(D354="","",IFERROR(INDEX(Mentors!$F$2:$F$151,MATCH(D354,Mentors!$A$2:$A$151,0))&amp;"",""))</f>
        <v/>
      </c>
      <c r="G354" s="24">
        <f>IF(D354="","",IFERROR(INDEX(Mentors!$P$2:$P$151,MATCH(D354,Mentors!$A$2:$A$151,0))&amp;"",""))</f>
        <v/>
      </c>
      <c r="H354" s="32" t="n"/>
      <c r="I354" s="32" t="n"/>
      <c r="J354" s="32" t="n"/>
      <c r="K354" s="24">
        <f>IF(B354="","",COUNT(I354:J354))</f>
        <v/>
      </c>
      <c r="L354" s="24" t="n"/>
      <c r="M354" s="24" t="n"/>
      <c r="N354" s="24" t="n"/>
      <c r="O354" s="24" t="n"/>
    </row>
    <row r="355">
      <c r="A355" s="24" t="inlineStr">
        <is>
          <t>M-354</t>
        </is>
      </c>
      <c r="B355" s="24" t="n"/>
      <c r="C355" s="24">
        <f>IF(B355="","",IFERROR(INDEX(Mentees!$D$2:$D$301,MATCH(B355,Mentees!$A$2:$A$301,0)),"ID not found"))</f>
        <v/>
      </c>
      <c r="D355" s="24" t="n"/>
      <c r="E355" s="24">
        <f>IF(D355="","",IFERROR(INDEX(Mentors!$D$2:$D$151,MATCH(D355,Mentors!$A$2:$A$151,0)),"ID not found"))</f>
        <v/>
      </c>
      <c r="F355" s="24">
        <f>IF(D355="","",IFERROR(INDEX(Mentors!$F$2:$F$151,MATCH(D355,Mentors!$A$2:$A$151,0))&amp;"",""))</f>
        <v/>
      </c>
      <c r="G355" s="24">
        <f>IF(D355="","",IFERROR(INDEX(Mentors!$P$2:$P$151,MATCH(D355,Mentors!$A$2:$A$151,0))&amp;"",""))</f>
        <v/>
      </c>
      <c r="H355" s="32" t="n"/>
      <c r="I355" s="32" t="n"/>
      <c r="J355" s="32" t="n"/>
      <c r="K355" s="24">
        <f>IF(B355="","",COUNT(I355:J355))</f>
        <v/>
      </c>
      <c r="L355" s="24" t="n"/>
      <c r="M355" s="24" t="n"/>
      <c r="N355" s="24" t="n"/>
      <c r="O355" s="24" t="n"/>
    </row>
    <row r="356">
      <c r="A356" s="24" t="inlineStr">
        <is>
          <t>M-355</t>
        </is>
      </c>
      <c r="B356" s="24" t="n"/>
      <c r="C356" s="24">
        <f>IF(B356="","",IFERROR(INDEX(Mentees!$D$2:$D$301,MATCH(B356,Mentees!$A$2:$A$301,0)),"ID not found"))</f>
        <v/>
      </c>
      <c r="D356" s="24" t="n"/>
      <c r="E356" s="24">
        <f>IF(D356="","",IFERROR(INDEX(Mentors!$D$2:$D$151,MATCH(D356,Mentors!$A$2:$A$151,0)),"ID not found"))</f>
        <v/>
      </c>
      <c r="F356" s="24">
        <f>IF(D356="","",IFERROR(INDEX(Mentors!$F$2:$F$151,MATCH(D356,Mentors!$A$2:$A$151,0))&amp;"",""))</f>
        <v/>
      </c>
      <c r="G356" s="24">
        <f>IF(D356="","",IFERROR(INDEX(Mentors!$P$2:$P$151,MATCH(D356,Mentors!$A$2:$A$151,0))&amp;"",""))</f>
        <v/>
      </c>
      <c r="H356" s="32" t="n"/>
      <c r="I356" s="32" t="n"/>
      <c r="J356" s="32" t="n"/>
      <c r="K356" s="24">
        <f>IF(B356="","",COUNT(I356:J356))</f>
        <v/>
      </c>
      <c r="L356" s="24" t="n"/>
      <c r="M356" s="24" t="n"/>
      <c r="N356" s="24" t="n"/>
      <c r="O356" s="24" t="n"/>
    </row>
    <row r="357">
      <c r="A357" s="24" t="inlineStr">
        <is>
          <t>M-356</t>
        </is>
      </c>
      <c r="B357" s="24" t="n"/>
      <c r="C357" s="24">
        <f>IF(B357="","",IFERROR(INDEX(Mentees!$D$2:$D$301,MATCH(B357,Mentees!$A$2:$A$301,0)),"ID not found"))</f>
        <v/>
      </c>
      <c r="D357" s="24" t="n"/>
      <c r="E357" s="24">
        <f>IF(D357="","",IFERROR(INDEX(Mentors!$D$2:$D$151,MATCH(D357,Mentors!$A$2:$A$151,0)),"ID not found"))</f>
        <v/>
      </c>
      <c r="F357" s="24">
        <f>IF(D357="","",IFERROR(INDEX(Mentors!$F$2:$F$151,MATCH(D357,Mentors!$A$2:$A$151,0))&amp;"",""))</f>
        <v/>
      </c>
      <c r="G357" s="24">
        <f>IF(D357="","",IFERROR(INDEX(Mentors!$P$2:$P$151,MATCH(D357,Mentors!$A$2:$A$151,0))&amp;"",""))</f>
        <v/>
      </c>
      <c r="H357" s="32" t="n"/>
      <c r="I357" s="32" t="n"/>
      <c r="J357" s="32" t="n"/>
      <c r="K357" s="24">
        <f>IF(B357="","",COUNT(I357:J357))</f>
        <v/>
      </c>
      <c r="L357" s="24" t="n"/>
      <c r="M357" s="24" t="n"/>
      <c r="N357" s="24" t="n"/>
      <c r="O357" s="24" t="n"/>
    </row>
    <row r="358">
      <c r="A358" s="24" t="inlineStr">
        <is>
          <t>M-357</t>
        </is>
      </c>
      <c r="B358" s="24" t="n"/>
      <c r="C358" s="24">
        <f>IF(B358="","",IFERROR(INDEX(Mentees!$D$2:$D$301,MATCH(B358,Mentees!$A$2:$A$301,0)),"ID not found"))</f>
        <v/>
      </c>
      <c r="D358" s="24" t="n"/>
      <c r="E358" s="24">
        <f>IF(D358="","",IFERROR(INDEX(Mentors!$D$2:$D$151,MATCH(D358,Mentors!$A$2:$A$151,0)),"ID not found"))</f>
        <v/>
      </c>
      <c r="F358" s="24">
        <f>IF(D358="","",IFERROR(INDEX(Mentors!$F$2:$F$151,MATCH(D358,Mentors!$A$2:$A$151,0))&amp;"",""))</f>
        <v/>
      </c>
      <c r="G358" s="24">
        <f>IF(D358="","",IFERROR(INDEX(Mentors!$P$2:$P$151,MATCH(D358,Mentors!$A$2:$A$151,0))&amp;"",""))</f>
        <v/>
      </c>
      <c r="H358" s="32" t="n"/>
      <c r="I358" s="32" t="n"/>
      <c r="J358" s="32" t="n"/>
      <c r="K358" s="24">
        <f>IF(B358="","",COUNT(I358:J358))</f>
        <v/>
      </c>
      <c r="L358" s="24" t="n"/>
      <c r="M358" s="24" t="n"/>
      <c r="N358" s="24" t="n"/>
      <c r="O358" s="24" t="n"/>
    </row>
    <row r="359">
      <c r="A359" s="24" t="inlineStr">
        <is>
          <t>M-358</t>
        </is>
      </c>
      <c r="B359" s="24" t="n"/>
      <c r="C359" s="24">
        <f>IF(B359="","",IFERROR(INDEX(Mentees!$D$2:$D$301,MATCH(B359,Mentees!$A$2:$A$301,0)),"ID not found"))</f>
        <v/>
      </c>
      <c r="D359" s="24" t="n"/>
      <c r="E359" s="24">
        <f>IF(D359="","",IFERROR(INDEX(Mentors!$D$2:$D$151,MATCH(D359,Mentors!$A$2:$A$151,0)),"ID not found"))</f>
        <v/>
      </c>
      <c r="F359" s="24">
        <f>IF(D359="","",IFERROR(INDEX(Mentors!$F$2:$F$151,MATCH(D359,Mentors!$A$2:$A$151,0))&amp;"",""))</f>
        <v/>
      </c>
      <c r="G359" s="24">
        <f>IF(D359="","",IFERROR(INDEX(Mentors!$P$2:$P$151,MATCH(D359,Mentors!$A$2:$A$151,0))&amp;"",""))</f>
        <v/>
      </c>
      <c r="H359" s="32" t="n"/>
      <c r="I359" s="32" t="n"/>
      <c r="J359" s="32" t="n"/>
      <c r="K359" s="24">
        <f>IF(B359="","",COUNT(I359:J359))</f>
        <v/>
      </c>
      <c r="L359" s="24" t="n"/>
      <c r="M359" s="24" t="n"/>
      <c r="N359" s="24" t="n"/>
      <c r="O359" s="24" t="n"/>
    </row>
    <row r="360">
      <c r="A360" s="24" t="inlineStr">
        <is>
          <t>M-359</t>
        </is>
      </c>
      <c r="B360" s="24" t="n"/>
      <c r="C360" s="24">
        <f>IF(B360="","",IFERROR(INDEX(Mentees!$D$2:$D$301,MATCH(B360,Mentees!$A$2:$A$301,0)),"ID not found"))</f>
        <v/>
      </c>
      <c r="D360" s="24" t="n"/>
      <c r="E360" s="24">
        <f>IF(D360="","",IFERROR(INDEX(Mentors!$D$2:$D$151,MATCH(D360,Mentors!$A$2:$A$151,0)),"ID not found"))</f>
        <v/>
      </c>
      <c r="F360" s="24">
        <f>IF(D360="","",IFERROR(INDEX(Mentors!$F$2:$F$151,MATCH(D360,Mentors!$A$2:$A$151,0))&amp;"",""))</f>
        <v/>
      </c>
      <c r="G360" s="24">
        <f>IF(D360="","",IFERROR(INDEX(Mentors!$P$2:$P$151,MATCH(D360,Mentors!$A$2:$A$151,0))&amp;"",""))</f>
        <v/>
      </c>
      <c r="H360" s="32" t="n"/>
      <c r="I360" s="32" t="n"/>
      <c r="J360" s="32" t="n"/>
      <c r="K360" s="24">
        <f>IF(B360="","",COUNT(I360:J360))</f>
        <v/>
      </c>
      <c r="L360" s="24" t="n"/>
      <c r="M360" s="24" t="n"/>
      <c r="N360" s="24" t="n"/>
      <c r="O360" s="24" t="n"/>
    </row>
    <row r="361">
      <c r="A361" s="24" t="inlineStr">
        <is>
          <t>M-360</t>
        </is>
      </c>
      <c r="B361" s="24" t="n"/>
      <c r="C361" s="24">
        <f>IF(B361="","",IFERROR(INDEX(Mentees!$D$2:$D$301,MATCH(B361,Mentees!$A$2:$A$301,0)),"ID not found"))</f>
        <v/>
      </c>
      <c r="D361" s="24" t="n"/>
      <c r="E361" s="24">
        <f>IF(D361="","",IFERROR(INDEX(Mentors!$D$2:$D$151,MATCH(D361,Mentors!$A$2:$A$151,0)),"ID not found"))</f>
        <v/>
      </c>
      <c r="F361" s="24">
        <f>IF(D361="","",IFERROR(INDEX(Mentors!$F$2:$F$151,MATCH(D361,Mentors!$A$2:$A$151,0))&amp;"",""))</f>
        <v/>
      </c>
      <c r="G361" s="24">
        <f>IF(D361="","",IFERROR(INDEX(Mentors!$P$2:$P$151,MATCH(D361,Mentors!$A$2:$A$151,0))&amp;"",""))</f>
        <v/>
      </c>
      <c r="H361" s="32" t="n"/>
      <c r="I361" s="32" t="n"/>
      <c r="J361" s="32" t="n"/>
      <c r="K361" s="24">
        <f>IF(B361="","",COUNT(I361:J361))</f>
        <v/>
      </c>
      <c r="L361" s="24" t="n"/>
      <c r="M361" s="24" t="n"/>
      <c r="N361" s="24" t="n"/>
      <c r="O361" s="24" t="n"/>
    </row>
    <row r="362">
      <c r="A362" s="24" t="inlineStr">
        <is>
          <t>M-361</t>
        </is>
      </c>
      <c r="B362" s="24" t="n"/>
      <c r="C362" s="24">
        <f>IF(B362="","",IFERROR(INDEX(Mentees!$D$2:$D$301,MATCH(B362,Mentees!$A$2:$A$301,0)),"ID not found"))</f>
        <v/>
      </c>
      <c r="D362" s="24" t="n"/>
      <c r="E362" s="24">
        <f>IF(D362="","",IFERROR(INDEX(Mentors!$D$2:$D$151,MATCH(D362,Mentors!$A$2:$A$151,0)),"ID not found"))</f>
        <v/>
      </c>
      <c r="F362" s="24">
        <f>IF(D362="","",IFERROR(INDEX(Mentors!$F$2:$F$151,MATCH(D362,Mentors!$A$2:$A$151,0))&amp;"",""))</f>
        <v/>
      </c>
      <c r="G362" s="24">
        <f>IF(D362="","",IFERROR(INDEX(Mentors!$P$2:$P$151,MATCH(D362,Mentors!$A$2:$A$151,0))&amp;"",""))</f>
        <v/>
      </c>
      <c r="H362" s="32" t="n"/>
      <c r="I362" s="32" t="n"/>
      <c r="J362" s="32" t="n"/>
      <c r="K362" s="24">
        <f>IF(B362="","",COUNT(I362:J362))</f>
        <v/>
      </c>
      <c r="L362" s="24" t="n"/>
      <c r="M362" s="24" t="n"/>
      <c r="N362" s="24" t="n"/>
      <c r="O362" s="24" t="n"/>
    </row>
    <row r="363">
      <c r="A363" s="24" t="inlineStr">
        <is>
          <t>M-362</t>
        </is>
      </c>
      <c r="B363" s="24" t="n"/>
      <c r="C363" s="24">
        <f>IF(B363="","",IFERROR(INDEX(Mentees!$D$2:$D$301,MATCH(B363,Mentees!$A$2:$A$301,0)),"ID not found"))</f>
        <v/>
      </c>
      <c r="D363" s="24" t="n"/>
      <c r="E363" s="24">
        <f>IF(D363="","",IFERROR(INDEX(Mentors!$D$2:$D$151,MATCH(D363,Mentors!$A$2:$A$151,0)),"ID not found"))</f>
        <v/>
      </c>
      <c r="F363" s="24">
        <f>IF(D363="","",IFERROR(INDEX(Mentors!$F$2:$F$151,MATCH(D363,Mentors!$A$2:$A$151,0))&amp;"",""))</f>
        <v/>
      </c>
      <c r="G363" s="24">
        <f>IF(D363="","",IFERROR(INDEX(Mentors!$P$2:$P$151,MATCH(D363,Mentors!$A$2:$A$151,0))&amp;"",""))</f>
        <v/>
      </c>
      <c r="H363" s="32" t="n"/>
      <c r="I363" s="32" t="n"/>
      <c r="J363" s="32" t="n"/>
      <c r="K363" s="24">
        <f>IF(B363="","",COUNT(I363:J363))</f>
        <v/>
      </c>
      <c r="L363" s="24" t="n"/>
      <c r="M363" s="24" t="n"/>
      <c r="N363" s="24" t="n"/>
      <c r="O363" s="24" t="n"/>
    </row>
    <row r="364">
      <c r="A364" s="24" t="inlineStr">
        <is>
          <t>M-363</t>
        </is>
      </c>
      <c r="B364" s="24" t="n"/>
      <c r="C364" s="24">
        <f>IF(B364="","",IFERROR(INDEX(Mentees!$D$2:$D$301,MATCH(B364,Mentees!$A$2:$A$301,0)),"ID not found"))</f>
        <v/>
      </c>
      <c r="D364" s="24" t="n"/>
      <c r="E364" s="24">
        <f>IF(D364="","",IFERROR(INDEX(Mentors!$D$2:$D$151,MATCH(D364,Mentors!$A$2:$A$151,0)),"ID not found"))</f>
        <v/>
      </c>
      <c r="F364" s="24">
        <f>IF(D364="","",IFERROR(INDEX(Mentors!$F$2:$F$151,MATCH(D364,Mentors!$A$2:$A$151,0))&amp;"",""))</f>
        <v/>
      </c>
      <c r="G364" s="24">
        <f>IF(D364="","",IFERROR(INDEX(Mentors!$P$2:$P$151,MATCH(D364,Mentors!$A$2:$A$151,0))&amp;"",""))</f>
        <v/>
      </c>
      <c r="H364" s="32" t="n"/>
      <c r="I364" s="32" t="n"/>
      <c r="J364" s="32" t="n"/>
      <c r="K364" s="24">
        <f>IF(B364="","",COUNT(I364:J364))</f>
        <v/>
      </c>
      <c r="L364" s="24" t="n"/>
      <c r="M364" s="24" t="n"/>
      <c r="N364" s="24" t="n"/>
      <c r="O364" s="24" t="n"/>
    </row>
    <row r="365">
      <c r="A365" s="24" t="inlineStr">
        <is>
          <t>M-364</t>
        </is>
      </c>
      <c r="B365" s="24" t="n"/>
      <c r="C365" s="24">
        <f>IF(B365="","",IFERROR(INDEX(Mentees!$D$2:$D$301,MATCH(B365,Mentees!$A$2:$A$301,0)),"ID not found"))</f>
        <v/>
      </c>
      <c r="D365" s="24" t="n"/>
      <c r="E365" s="24">
        <f>IF(D365="","",IFERROR(INDEX(Mentors!$D$2:$D$151,MATCH(D365,Mentors!$A$2:$A$151,0)),"ID not found"))</f>
        <v/>
      </c>
      <c r="F365" s="24">
        <f>IF(D365="","",IFERROR(INDEX(Mentors!$F$2:$F$151,MATCH(D365,Mentors!$A$2:$A$151,0))&amp;"",""))</f>
        <v/>
      </c>
      <c r="G365" s="24">
        <f>IF(D365="","",IFERROR(INDEX(Mentors!$P$2:$P$151,MATCH(D365,Mentors!$A$2:$A$151,0))&amp;"",""))</f>
        <v/>
      </c>
      <c r="H365" s="32" t="n"/>
      <c r="I365" s="32" t="n"/>
      <c r="J365" s="32" t="n"/>
      <c r="K365" s="24">
        <f>IF(B365="","",COUNT(I365:J365))</f>
        <v/>
      </c>
      <c r="L365" s="24" t="n"/>
      <c r="M365" s="24" t="n"/>
      <c r="N365" s="24" t="n"/>
      <c r="O365" s="24" t="n"/>
    </row>
    <row r="366">
      <c r="A366" s="24" t="inlineStr">
        <is>
          <t>M-365</t>
        </is>
      </c>
      <c r="B366" s="24" t="n"/>
      <c r="C366" s="24">
        <f>IF(B366="","",IFERROR(INDEX(Mentees!$D$2:$D$301,MATCH(B366,Mentees!$A$2:$A$301,0)),"ID not found"))</f>
        <v/>
      </c>
      <c r="D366" s="24" t="n"/>
      <c r="E366" s="24">
        <f>IF(D366="","",IFERROR(INDEX(Mentors!$D$2:$D$151,MATCH(D366,Mentors!$A$2:$A$151,0)),"ID not found"))</f>
        <v/>
      </c>
      <c r="F366" s="24">
        <f>IF(D366="","",IFERROR(INDEX(Mentors!$F$2:$F$151,MATCH(D366,Mentors!$A$2:$A$151,0))&amp;"",""))</f>
        <v/>
      </c>
      <c r="G366" s="24">
        <f>IF(D366="","",IFERROR(INDEX(Mentors!$P$2:$P$151,MATCH(D366,Mentors!$A$2:$A$151,0))&amp;"",""))</f>
        <v/>
      </c>
      <c r="H366" s="32" t="n"/>
      <c r="I366" s="32" t="n"/>
      <c r="J366" s="32" t="n"/>
      <c r="K366" s="24">
        <f>IF(B366="","",COUNT(I366:J366))</f>
        <v/>
      </c>
      <c r="L366" s="24" t="n"/>
      <c r="M366" s="24" t="n"/>
      <c r="N366" s="24" t="n"/>
      <c r="O366" s="24" t="n"/>
    </row>
    <row r="367">
      <c r="A367" s="24" t="inlineStr">
        <is>
          <t>M-366</t>
        </is>
      </c>
      <c r="B367" s="24" t="n"/>
      <c r="C367" s="24">
        <f>IF(B367="","",IFERROR(INDEX(Mentees!$D$2:$D$301,MATCH(B367,Mentees!$A$2:$A$301,0)),"ID not found"))</f>
        <v/>
      </c>
      <c r="D367" s="24" t="n"/>
      <c r="E367" s="24">
        <f>IF(D367="","",IFERROR(INDEX(Mentors!$D$2:$D$151,MATCH(D367,Mentors!$A$2:$A$151,0)),"ID not found"))</f>
        <v/>
      </c>
      <c r="F367" s="24">
        <f>IF(D367="","",IFERROR(INDEX(Mentors!$F$2:$F$151,MATCH(D367,Mentors!$A$2:$A$151,0))&amp;"",""))</f>
        <v/>
      </c>
      <c r="G367" s="24">
        <f>IF(D367="","",IFERROR(INDEX(Mentors!$P$2:$P$151,MATCH(D367,Mentors!$A$2:$A$151,0))&amp;"",""))</f>
        <v/>
      </c>
      <c r="H367" s="32" t="n"/>
      <c r="I367" s="32" t="n"/>
      <c r="J367" s="32" t="n"/>
      <c r="K367" s="24">
        <f>IF(B367="","",COUNT(I367:J367))</f>
        <v/>
      </c>
      <c r="L367" s="24" t="n"/>
      <c r="M367" s="24" t="n"/>
      <c r="N367" s="24" t="n"/>
      <c r="O367" s="24" t="n"/>
    </row>
    <row r="368">
      <c r="A368" s="24" t="inlineStr">
        <is>
          <t>M-367</t>
        </is>
      </c>
      <c r="B368" s="24" t="n"/>
      <c r="C368" s="24">
        <f>IF(B368="","",IFERROR(INDEX(Mentees!$D$2:$D$301,MATCH(B368,Mentees!$A$2:$A$301,0)),"ID not found"))</f>
        <v/>
      </c>
      <c r="D368" s="24" t="n"/>
      <c r="E368" s="24">
        <f>IF(D368="","",IFERROR(INDEX(Mentors!$D$2:$D$151,MATCH(D368,Mentors!$A$2:$A$151,0)),"ID not found"))</f>
        <v/>
      </c>
      <c r="F368" s="24">
        <f>IF(D368="","",IFERROR(INDEX(Mentors!$F$2:$F$151,MATCH(D368,Mentors!$A$2:$A$151,0))&amp;"",""))</f>
        <v/>
      </c>
      <c r="G368" s="24">
        <f>IF(D368="","",IFERROR(INDEX(Mentors!$P$2:$P$151,MATCH(D368,Mentors!$A$2:$A$151,0))&amp;"",""))</f>
        <v/>
      </c>
      <c r="H368" s="32" t="n"/>
      <c r="I368" s="32" t="n"/>
      <c r="J368" s="32" t="n"/>
      <c r="K368" s="24">
        <f>IF(B368="","",COUNT(I368:J368))</f>
        <v/>
      </c>
      <c r="L368" s="24" t="n"/>
      <c r="M368" s="24" t="n"/>
      <c r="N368" s="24" t="n"/>
      <c r="O368" s="24" t="n"/>
    </row>
    <row r="369">
      <c r="A369" s="24" t="inlineStr">
        <is>
          <t>M-368</t>
        </is>
      </c>
      <c r="B369" s="24" t="n"/>
      <c r="C369" s="24">
        <f>IF(B369="","",IFERROR(INDEX(Mentees!$D$2:$D$301,MATCH(B369,Mentees!$A$2:$A$301,0)),"ID not found"))</f>
        <v/>
      </c>
      <c r="D369" s="24" t="n"/>
      <c r="E369" s="24">
        <f>IF(D369="","",IFERROR(INDEX(Mentors!$D$2:$D$151,MATCH(D369,Mentors!$A$2:$A$151,0)),"ID not found"))</f>
        <v/>
      </c>
      <c r="F369" s="24">
        <f>IF(D369="","",IFERROR(INDEX(Mentors!$F$2:$F$151,MATCH(D369,Mentors!$A$2:$A$151,0))&amp;"",""))</f>
        <v/>
      </c>
      <c r="G369" s="24">
        <f>IF(D369="","",IFERROR(INDEX(Mentors!$P$2:$P$151,MATCH(D369,Mentors!$A$2:$A$151,0))&amp;"",""))</f>
        <v/>
      </c>
      <c r="H369" s="32" t="n"/>
      <c r="I369" s="32" t="n"/>
      <c r="J369" s="32" t="n"/>
      <c r="K369" s="24">
        <f>IF(B369="","",COUNT(I369:J369))</f>
        <v/>
      </c>
      <c r="L369" s="24" t="n"/>
      <c r="M369" s="24" t="n"/>
      <c r="N369" s="24" t="n"/>
      <c r="O369" s="24" t="n"/>
    </row>
    <row r="370">
      <c r="A370" s="24" t="inlineStr">
        <is>
          <t>M-369</t>
        </is>
      </c>
      <c r="B370" s="24" t="n"/>
      <c r="C370" s="24">
        <f>IF(B370="","",IFERROR(INDEX(Mentees!$D$2:$D$301,MATCH(B370,Mentees!$A$2:$A$301,0)),"ID not found"))</f>
        <v/>
      </c>
      <c r="D370" s="24" t="n"/>
      <c r="E370" s="24">
        <f>IF(D370="","",IFERROR(INDEX(Mentors!$D$2:$D$151,MATCH(D370,Mentors!$A$2:$A$151,0)),"ID not found"))</f>
        <v/>
      </c>
      <c r="F370" s="24">
        <f>IF(D370="","",IFERROR(INDEX(Mentors!$F$2:$F$151,MATCH(D370,Mentors!$A$2:$A$151,0))&amp;"",""))</f>
        <v/>
      </c>
      <c r="G370" s="24">
        <f>IF(D370="","",IFERROR(INDEX(Mentors!$P$2:$P$151,MATCH(D370,Mentors!$A$2:$A$151,0))&amp;"",""))</f>
        <v/>
      </c>
      <c r="H370" s="32" t="n"/>
      <c r="I370" s="32" t="n"/>
      <c r="J370" s="32" t="n"/>
      <c r="K370" s="24">
        <f>IF(B370="","",COUNT(I370:J370))</f>
        <v/>
      </c>
      <c r="L370" s="24" t="n"/>
      <c r="M370" s="24" t="n"/>
      <c r="N370" s="24" t="n"/>
      <c r="O370" s="24" t="n"/>
    </row>
    <row r="371">
      <c r="A371" s="24" t="inlineStr">
        <is>
          <t>M-370</t>
        </is>
      </c>
      <c r="B371" s="24" t="n"/>
      <c r="C371" s="24">
        <f>IF(B371="","",IFERROR(INDEX(Mentees!$D$2:$D$301,MATCH(B371,Mentees!$A$2:$A$301,0)),"ID not found"))</f>
        <v/>
      </c>
      <c r="D371" s="24" t="n"/>
      <c r="E371" s="24">
        <f>IF(D371="","",IFERROR(INDEX(Mentors!$D$2:$D$151,MATCH(D371,Mentors!$A$2:$A$151,0)),"ID not found"))</f>
        <v/>
      </c>
      <c r="F371" s="24">
        <f>IF(D371="","",IFERROR(INDEX(Mentors!$F$2:$F$151,MATCH(D371,Mentors!$A$2:$A$151,0))&amp;"",""))</f>
        <v/>
      </c>
      <c r="G371" s="24">
        <f>IF(D371="","",IFERROR(INDEX(Mentors!$P$2:$P$151,MATCH(D371,Mentors!$A$2:$A$151,0))&amp;"",""))</f>
        <v/>
      </c>
      <c r="H371" s="32" t="n"/>
      <c r="I371" s="32" t="n"/>
      <c r="J371" s="32" t="n"/>
      <c r="K371" s="24">
        <f>IF(B371="","",COUNT(I371:J371))</f>
        <v/>
      </c>
      <c r="L371" s="24" t="n"/>
      <c r="M371" s="24" t="n"/>
      <c r="N371" s="24" t="n"/>
      <c r="O371" s="24" t="n"/>
    </row>
    <row r="372">
      <c r="A372" s="24" t="inlineStr">
        <is>
          <t>M-371</t>
        </is>
      </c>
      <c r="B372" s="24" t="n"/>
      <c r="C372" s="24">
        <f>IF(B372="","",IFERROR(INDEX(Mentees!$D$2:$D$301,MATCH(B372,Mentees!$A$2:$A$301,0)),"ID not found"))</f>
        <v/>
      </c>
      <c r="D372" s="24" t="n"/>
      <c r="E372" s="24">
        <f>IF(D372="","",IFERROR(INDEX(Mentors!$D$2:$D$151,MATCH(D372,Mentors!$A$2:$A$151,0)),"ID not found"))</f>
        <v/>
      </c>
      <c r="F372" s="24">
        <f>IF(D372="","",IFERROR(INDEX(Mentors!$F$2:$F$151,MATCH(D372,Mentors!$A$2:$A$151,0))&amp;"",""))</f>
        <v/>
      </c>
      <c r="G372" s="24">
        <f>IF(D372="","",IFERROR(INDEX(Mentors!$P$2:$P$151,MATCH(D372,Mentors!$A$2:$A$151,0))&amp;"",""))</f>
        <v/>
      </c>
      <c r="H372" s="32" t="n"/>
      <c r="I372" s="32" t="n"/>
      <c r="J372" s="32" t="n"/>
      <c r="K372" s="24">
        <f>IF(B372="","",COUNT(I372:J372))</f>
        <v/>
      </c>
      <c r="L372" s="24" t="n"/>
      <c r="M372" s="24" t="n"/>
      <c r="N372" s="24" t="n"/>
      <c r="O372" s="24" t="n"/>
    </row>
    <row r="373">
      <c r="A373" s="24" t="inlineStr">
        <is>
          <t>M-372</t>
        </is>
      </c>
      <c r="B373" s="24" t="n"/>
      <c r="C373" s="24">
        <f>IF(B373="","",IFERROR(INDEX(Mentees!$D$2:$D$301,MATCH(B373,Mentees!$A$2:$A$301,0)),"ID not found"))</f>
        <v/>
      </c>
      <c r="D373" s="24" t="n"/>
      <c r="E373" s="24">
        <f>IF(D373="","",IFERROR(INDEX(Mentors!$D$2:$D$151,MATCH(D373,Mentors!$A$2:$A$151,0)),"ID not found"))</f>
        <v/>
      </c>
      <c r="F373" s="24">
        <f>IF(D373="","",IFERROR(INDEX(Mentors!$F$2:$F$151,MATCH(D373,Mentors!$A$2:$A$151,0))&amp;"",""))</f>
        <v/>
      </c>
      <c r="G373" s="24">
        <f>IF(D373="","",IFERROR(INDEX(Mentors!$P$2:$P$151,MATCH(D373,Mentors!$A$2:$A$151,0))&amp;"",""))</f>
        <v/>
      </c>
      <c r="H373" s="32" t="n"/>
      <c r="I373" s="32" t="n"/>
      <c r="J373" s="32" t="n"/>
      <c r="K373" s="24">
        <f>IF(B373="","",COUNT(I373:J373))</f>
        <v/>
      </c>
      <c r="L373" s="24" t="n"/>
      <c r="M373" s="24" t="n"/>
      <c r="N373" s="24" t="n"/>
      <c r="O373" s="24" t="n"/>
    </row>
    <row r="374">
      <c r="A374" s="24" t="inlineStr">
        <is>
          <t>M-373</t>
        </is>
      </c>
      <c r="B374" s="24" t="n"/>
      <c r="C374" s="24">
        <f>IF(B374="","",IFERROR(INDEX(Mentees!$D$2:$D$301,MATCH(B374,Mentees!$A$2:$A$301,0)),"ID not found"))</f>
        <v/>
      </c>
      <c r="D374" s="24" t="n"/>
      <c r="E374" s="24">
        <f>IF(D374="","",IFERROR(INDEX(Mentors!$D$2:$D$151,MATCH(D374,Mentors!$A$2:$A$151,0)),"ID not found"))</f>
        <v/>
      </c>
      <c r="F374" s="24">
        <f>IF(D374="","",IFERROR(INDEX(Mentors!$F$2:$F$151,MATCH(D374,Mentors!$A$2:$A$151,0))&amp;"",""))</f>
        <v/>
      </c>
      <c r="G374" s="24">
        <f>IF(D374="","",IFERROR(INDEX(Mentors!$P$2:$P$151,MATCH(D374,Mentors!$A$2:$A$151,0))&amp;"",""))</f>
        <v/>
      </c>
      <c r="H374" s="32" t="n"/>
      <c r="I374" s="32" t="n"/>
      <c r="J374" s="32" t="n"/>
      <c r="K374" s="24">
        <f>IF(B374="","",COUNT(I374:J374))</f>
        <v/>
      </c>
      <c r="L374" s="24" t="n"/>
      <c r="M374" s="24" t="n"/>
      <c r="N374" s="24" t="n"/>
      <c r="O374" s="24" t="n"/>
    </row>
    <row r="375">
      <c r="A375" s="24" t="inlineStr">
        <is>
          <t>M-374</t>
        </is>
      </c>
      <c r="B375" s="24" t="n"/>
      <c r="C375" s="24">
        <f>IF(B375="","",IFERROR(INDEX(Mentees!$D$2:$D$301,MATCH(B375,Mentees!$A$2:$A$301,0)),"ID not found"))</f>
        <v/>
      </c>
      <c r="D375" s="24" t="n"/>
      <c r="E375" s="24">
        <f>IF(D375="","",IFERROR(INDEX(Mentors!$D$2:$D$151,MATCH(D375,Mentors!$A$2:$A$151,0)),"ID not found"))</f>
        <v/>
      </c>
      <c r="F375" s="24">
        <f>IF(D375="","",IFERROR(INDEX(Mentors!$F$2:$F$151,MATCH(D375,Mentors!$A$2:$A$151,0))&amp;"",""))</f>
        <v/>
      </c>
      <c r="G375" s="24">
        <f>IF(D375="","",IFERROR(INDEX(Mentors!$P$2:$P$151,MATCH(D375,Mentors!$A$2:$A$151,0))&amp;"",""))</f>
        <v/>
      </c>
      <c r="H375" s="32" t="n"/>
      <c r="I375" s="32" t="n"/>
      <c r="J375" s="32" t="n"/>
      <c r="K375" s="24">
        <f>IF(B375="","",COUNT(I375:J375))</f>
        <v/>
      </c>
      <c r="L375" s="24" t="n"/>
      <c r="M375" s="24" t="n"/>
      <c r="N375" s="24" t="n"/>
      <c r="O375" s="24" t="n"/>
    </row>
    <row r="376">
      <c r="A376" s="24" t="inlineStr">
        <is>
          <t>M-375</t>
        </is>
      </c>
      <c r="B376" s="24" t="n"/>
      <c r="C376" s="24">
        <f>IF(B376="","",IFERROR(INDEX(Mentees!$D$2:$D$301,MATCH(B376,Mentees!$A$2:$A$301,0)),"ID not found"))</f>
        <v/>
      </c>
      <c r="D376" s="24" t="n"/>
      <c r="E376" s="24">
        <f>IF(D376="","",IFERROR(INDEX(Mentors!$D$2:$D$151,MATCH(D376,Mentors!$A$2:$A$151,0)),"ID not found"))</f>
        <v/>
      </c>
      <c r="F376" s="24">
        <f>IF(D376="","",IFERROR(INDEX(Mentors!$F$2:$F$151,MATCH(D376,Mentors!$A$2:$A$151,0))&amp;"",""))</f>
        <v/>
      </c>
      <c r="G376" s="24">
        <f>IF(D376="","",IFERROR(INDEX(Mentors!$P$2:$P$151,MATCH(D376,Mentors!$A$2:$A$151,0))&amp;"",""))</f>
        <v/>
      </c>
      <c r="H376" s="32" t="n"/>
      <c r="I376" s="32" t="n"/>
      <c r="J376" s="32" t="n"/>
      <c r="K376" s="24">
        <f>IF(B376="","",COUNT(I376:J376))</f>
        <v/>
      </c>
      <c r="L376" s="24" t="n"/>
      <c r="M376" s="24" t="n"/>
      <c r="N376" s="24" t="n"/>
      <c r="O376" s="24" t="n"/>
    </row>
    <row r="377">
      <c r="A377" s="24" t="inlineStr">
        <is>
          <t>M-376</t>
        </is>
      </c>
      <c r="B377" s="24" t="n"/>
      <c r="C377" s="24">
        <f>IF(B377="","",IFERROR(INDEX(Mentees!$D$2:$D$301,MATCH(B377,Mentees!$A$2:$A$301,0)),"ID not found"))</f>
        <v/>
      </c>
      <c r="D377" s="24" t="n"/>
      <c r="E377" s="24">
        <f>IF(D377="","",IFERROR(INDEX(Mentors!$D$2:$D$151,MATCH(D377,Mentors!$A$2:$A$151,0)),"ID not found"))</f>
        <v/>
      </c>
      <c r="F377" s="24">
        <f>IF(D377="","",IFERROR(INDEX(Mentors!$F$2:$F$151,MATCH(D377,Mentors!$A$2:$A$151,0))&amp;"",""))</f>
        <v/>
      </c>
      <c r="G377" s="24">
        <f>IF(D377="","",IFERROR(INDEX(Mentors!$P$2:$P$151,MATCH(D377,Mentors!$A$2:$A$151,0))&amp;"",""))</f>
        <v/>
      </c>
      <c r="H377" s="32" t="n"/>
      <c r="I377" s="32" t="n"/>
      <c r="J377" s="32" t="n"/>
      <c r="K377" s="24">
        <f>IF(B377="","",COUNT(I377:J377))</f>
        <v/>
      </c>
      <c r="L377" s="24" t="n"/>
      <c r="M377" s="24" t="n"/>
      <c r="N377" s="24" t="n"/>
      <c r="O377" s="24" t="n"/>
    </row>
    <row r="378">
      <c r="A378" s="24" t="inlineStr">
        <is>
          <t>M-377</t>
        </is>
      </c>
      <c r="B378" s="24" t="n"/>
      <c r="C378" s="24">
        <f>IF(B378="","",IFERROR(INDEX(Mentees!$D$2:$D$301,MATCH(B378,Mentees!$A$2:$A$301,0)),"ID not found"))</f>
        <v/>
      </c>
      <c r="D378" s="24" t="n"/>
      <c r="E378" s="24">
        <f>IF(D378="","",IFERROR(INDEX(Mentors!$D$2:$D$151,MATCH(D378,Mentors!$A$2:$A$151,0)),"ID not found"))</f>
        <v/>
      </c>
      <c r="F378" s="24">
        <f>IF(D378="","",IFERROR(INDEX(Mentors!$F$2:$F$151,MATCH(D378,Mentors!$A$2:$A$151,0))&amp;"",""))</f>
        <v/>
      </c>
      <c r="G378" s="24">
        <f>IF(D378="","",IFERROR(INDEX(Mentors!$P$2:$P$151,MATCH(D378,Mentors!$A$2:$A$151,0))&amp;"",""))</f>
        <v/>
      </c>
      <c r="H378" s="32" t="n"/>
      <c r="I378" s="32" t="n"/>
      <c r="J378" s="32" t="n"/>
      <c r="K378" s="24">
        <f>IF(B378="","",COUNT(I378:J378))</f>
        <v/>
      </c>
      <c r="L378" s="24" t="n"/>
      <c r="M378" s="24" t="n"/>
      <c r="N378" s="24" t="n"/>
      <c r="O378" s="24" t="n"/>
    </row>
    <row r="379">
      <c r="A379" s="24" t="inlineStr">
        <is>
          <t>M-378</t>
        </is>
      </c>
      <c r="B379" s="24" t="n"/>
      <c r="C379" s="24">
        <f>IF(B379="","",IFERROR(INDEX(Mentees!$D$2:$D$301,MATCH(B379,Mentees!$A$2:$A$301,0)),"ID not found"))</f>
        <v/>
      </c>
      <c r="D379" s="24" t="n"/>
      <c r="E379" s="24">
        <f>IF(D379="","",IFERROR(INDEX(Mentors!$D$2:$D$151,MATCH(D379,Mentors!$A$2:$A$151,0)),"ID not found"))</f>
        <v/>
      </c>
      <c r="F379" s="24">
        <f>IF(D379="","",IFERROR(INDEX(Mentors!$F$2:$F$151,MATCH(D379,Mentors!$A$2:$A$151,0))&amp;"",""))</f>
        <v/>
      </c>
      <c r="G379" s="24">
        <f>IF(D379="","",IFERROR(INDEX(Mentors!$P$2:$P$151,MATCH(D379,Mentors!$A$2:$A$151,0))&amp;"",""))</f>
        <v/>
      </c>
      <c r="H379" s="32" t="n"/>
      <c r="I379" s="32" t="n"/>
      <c r="J379" s="32" t="n"/>
      <c r="K379" s="24">
        <f>IF(B379="","",COUNT(I379:J379))</f>
        <v/>
      </c>
      <c r="L379" s="24" t="n"/>
      <c r="M379" s="24" t="n"/>
      <c r="N379" s="24" t="n"/>
      <c r="O379" s="24" t="n"/>
    </row>
    <row r="380">
      <c r="A380" s="24" t="inlineStr">
        <is>
          <t>M-379</t>
        </is>
      </c>
      <c r="B380" s="24" t="n"/>
      <c r="C380" s="24">
        <f>IF(B380="","",IFERROR(INDEX(Mentees!$D$2:$D$301,MATCH(B380,Mentees!$A$2:$A$301,0)),"ID not found"))</f>
        <v/>
      </c>
      <c r="D380" s="24" t="n"/>
      <c r="E380" s="24">
        <f>IF(D380="","",IFERROR(INDEX(Mentors!$D$2:$D$151,MATCH(D380,Mentors!$A$2:$A$151,0)),"ID not found"))</f>
        <v/>
      </c>
      <c r="F380" s="24">
        <f>IF(D380="","",IFERROR(INDEX(Mentors!$F$2:$F$151,MATCH(D380,Mentors!$A$2:$A$151,0))&amp;"",""))</f>
        <v/>
      </c>
      <c r="G380" s="24">
        <f>IF(D380="","",IFERROR(INDEX(Mentors!$P$2:$P$151,MATCH(D380,Mentors!$A$2:$A$151,0))&amp;"",""))</f>
        <v/>
      </c>
      <c r="H380" s="32" t="n"/>
      <c r="I380" s="32" t="n"/>
      <c r="J380" s="32" t="n"/>
      <c r="K380" s="24">
        <f>IF(B380="","",COUNT(I380:J380))</f>
        <v/>
      </c>
      <c r="L380" s="24" t="n"/>
      <c r="M380" s="24" t="n"/>
      <c r="N380" s="24" t="n"/>
      <c r="O380" s="24" t="n"/>
    </row>
    <row r="381">
      <c r="A381" s="24" t="inlineStr">
        <is>
          <t>M-380</t>
        </is>
      </c>
      <c r="B381" s="24" t="n"/>
      <c r="C381" s="24">
        <f>IF(B381="","",IFERROR(INDEX(Mentees!$D$2:$D$301,MATCH(B381,Mentees!$A$2:$A$301,0)),"ID not found"))</f>
        <v/>
      </c>
      <c r="D381" s="24" t="n"/>
      <c r="E381" s="24">
        <f>IF(D381="","",IFERROR(INDEX(Mentors!$D$2:$D$151,MATCH(D381,Mentors!$A$2:$A$151,0)),"ID not found"))</f>
        <v/>
      </c>
      <c r="F381" s="24">
        <f>IF(D381="","",IFERROR(INDEX(Mentors!$F$2:$F$151,MATCH(D381,Mentors!$A$2:$A$151,0))&amp;"",""))</f>
        <v/>
      </c>
      <c r="G381" s="24">
        <f>IF(D381="","",IFERROR(INDEX(Mentors!$P$2:$P$151,MATCH(D381,Mentors!$A$2:$A$151,0))&amp;"",""))</f>
        <v/>
      </c>
      <c r="H381" s="32" t="n"/>
      <c r="I381" s="32" t="n"/>
      <c r="J381" s="32" t="n"/>
      <c r="K381" s="24">
        <f>IF(B381="","",COUNT(I381:J381))</f>
        <v/>
      </c>
      <c r="L381" s="24" t="n"/>
      <c r="M381" s="24" t="n"/>
      <c r="N381" s="24" t="n"/>
      <c r="O381" s="24" t="n"/>
    </row>
    <row r="382">
      <c r="A382" s="24" t="inlineStr">
        <is>
          <t>M-381</t>
        </is>
      </c>
      <c r="B382" s="24" t="n"/>
      <c r="C382" s="24">
        <f>IF(B382="","",IFERROR(INDEX(Mentees!$D$2:$D$301,MATCH(B382,Mentees!$A$2:$A$301,0)),"ID not found"))</f>
        <v/>
      </c>
      <c r="D382" s="24" t="n"/>
      <c r="E382" s="24">
        <f>IF(D382="","",IFERROR(INDEX(Mentors!$D$2:$D$151,MATCH(D382,Mentors!$A$2:$A$151,0)),"ID not found"))</f>
        <v/>
      </c>
      <c r="F382" s="24">
        <f>IF(D382="","",IFERROR(INDEX(Mentors!$F$2:$F$151,MATCH(D382,Mentors!$A$2:$A$151,0))&amp;"",""))</f>
        <v/>
      </c>
      <c r="G382" s="24">
        <f>IF(D382="","",IFERROR(INDEX(Mentors!$P$2:$P$151,MATCH(D382,Mentors!$A$2:$A$151,0))&amp;"",""))</f>
        <v/>
      </c>
      <c r="H382" s="32" t="n"/>
      <c r="I382" s="32" t="n"/>
      <c r="J382" s="32" t="n"/>
      <c r="K382" s="24">
        <f>IF(B382="","",COUNT(I382:J382))</f>
        <v/>
      </c>
      <c r="L382" s="24" t="n"/>
      <c r="M382" s="24" t="n"/>
      <c r="N382" s="24" t="n"/>
      <c r="O382" s="24" t="n"/>
    </row>
    <row r="383">
      <c r="A383" s="24" t="inlineStr">
        <is>
          <t>M-382</t>
        </is>
      </c>
      <c r="B383" s="24" t="n"/>
      <c r="C383" s="24">
        <f>IF(B383="","",IFERROR(INDEX(Mentees!$D$2:$D$301,MATCH(B383,Mentees!$A$2:$A$301,0)),"ID not found"))</f>
        <v/>
      </c>
      <c r="D383" s="24" t="n"/>
      <c r="E383" s="24">
        <f>IF(D383="","",IFERROR(INDEX(Mentors!$D$2:$D$151,MATCH(D383,Mentors!$A$2:$A$151,0)),"ID not found"))</f>
        <v/>
      </c>
      <c r="F383" s="24">
        <f>IF(D383="","",IFERROR(INDEX(Mentors!$F$2:$F$151,MATCH(D383,Mentors!$A$2:$A$151,0))&amp;"",""))</f>
        <v/>
      </c>
      <c r="G383" s="24">
        <f>IF(D383="","",IFERROR(INDEX(Mentors!$P$2:$P$151,MATCH(D383,Mentors!$A$2:$A$151,0))&amp;"",""))</f>
        <v/>
      </c>
      <c r="H383" s="32" t="n"/>
      <c r="I383" s="32" t="n"/>
      <c r="J383" s="32" t="n"/>
      <c r="K383" s="24">
        <f>IF(B383="","",COUNT(I383:J383))</f>
        <v/>
      </c>
      <c r="L383" s="24" t="n"/>
      <c r="M383" s="24" t="n"/>
      <c r="N383" s="24" t="n"/>
      <c r="O383" s="24" t="n"/>
    </row>
    <row r="384">
      <c r="A384" s="24" t="inlineStr">
        <is>
          <t>M-383</t>
        </is>
      </c>
      <c r="B384" s="24" t="n"/>
      <c r="C384" s="24">
        <f>IF(B384="","",IFERROR(INDEX(Mentees!$D$2:$D$301,MATCH(B384,Mentees!$A$2:$A$301,0)),"ID not found"))</f>
        <v/>
      </c>
      <c r="D384" s="24" t="n"/>
      <c r="E384" s="24">
        <f>IF(D384="","",IFERROR(INDEX(Mentors!$D$2:$D$151,MATCH(D384,Mentors!$A$2:$A$151,0)),"ID not found"))</f>
        <v/>
      </c>
      <c r="F384" s="24">
        <f>IF(D384="","",IFERROR(INDEX(Mentors!$F$2:$F$151,MATCH(D384,Mentors!$A$2:$A$151,0))&amp;"",""))</f>
        <v/>
      </c>
      <c r="G384" s="24">
        <f>IF(D384="","",IFERROR(INDEX(Mentors!$P$2:$P$151,MATCH(D384,Mentors!$A$2:$A$151,0))&amp;"",""))</f>
        <v/>
      </c>
      <c r="H384" s="32" t="n"/>
      <c r="I384" s="32" t="n"/>
      <c r="J384" s="32" t="n"/>
      <c r="K384" s="24">
        <f>IF(B384="","",COUNT(I384:J384))</f>
        <v/>
      </c>
      <c r="L384" s="24" t="n"/>
      <c r="M384" s="24" t="n"/>
      <c r="N384" s="24" t="n"/>
      <c r="O384" s="24" t="n"/>
    </row>
    <row r="385">
      <c r="A385" s="24" t="inlineStr">
        <is>
          <t>M-384</t>
        </is>
      </c>
      <c r="B385" s="24" t="n"/>
      <c r="C385" s="24">
        <f>IF(B385="","",IFERROR(INDEX(Mentees!$D$2:$D$301,MATCH(B385,Mentees!$A$2:$A$301,0)),"ID not found"))</f>
        <v/>
      </c>
      <c r="D385" s="24" t="n"/>
      <c r="E385" s="24">
        <f>IF(D385="","",IFERROR(INDEX(Mentors!$D$2:$D$151,MATCH(D385,Mentors!$A$2:$A$151,0)),"ID not found"))</f>
        <v/>
      </c>
      <c r="F385" s="24">
        <f>IF(D385="","",IFERROR(INDEX(Mentors!$F$2:$F$151,MATCH(D385,Mentors!$A$2:$A$151,0))&amp;"",""))</f>
        <v/>
      </c>
      <c r="G385" s="24">
        <f>IF(D385="","",IFERROR(INDEX(Mentors!$P$2:$P$151,MATCH(D385,Mentors!$A$2:$A$151,0))&amp;"",""))</f>
        <v/>
      </c>
      <c r="H385" s="32" t="n"/>
      <c r="I385" s="32" t="n"/>
      <c r="J385" s="32" t="n"/>
      <c r="K385" s="24">
        <f>IF(B385="","",COUNT(I385:J385))</f>
        <v/>
      </c>
      <c r="L385" s="24" t="n"/>
      <c r="M385" s="24" t="n"/>
      <c r="N385" s="24" t="n"/>
      <c r="O385" s="24" t="n"/>
    </row>
    <row r="386">
      <c r="A386" s="24" t="inlineStr">
        <is>
          <t>M-385</t>
        </is>
      </c>
      <c r="B386" s="24" t="n"/>
      <c r="C386" s="24">
        <f>IF(B386="","",IFERROR(INDEX(Mentees!$D$2:$D$301,MATCH(B386,Mentees!$A$2:$A$301,0)),"ID not found"))</f>
        <v/>
      </c>
      <c r="D386" s="24" t="n"/>
      <c r="E386" s="24">
        <f>IF(D386="","",IFERROR(INDEX(Mentors!$D$2:$D$151,MATCH(D386,Mentors!$A$2:$A$151,0)),"ID not found"))</f>
        <v/>
      </c>
      <c r="F386" s="24">
        <f>IF(D386="","",IFERROR(INDEX(Mentors!$F$2:$F$151,MATCH(D386,Mentors!$A$2:$A$151,0))&amp;"",""))</f>
        <v/>
      </c>
      <c r="G386" s="24">
        <f>IF(D386="","",IFERROR(INDEX(Mentors!$P$2:$P$151,MATCH(D386,Mentors!$A$2:$A$151,0))&amp;"",""))</f>
        <v/>
      </c>
      <c r="H386" s="32" t="n"/>
      <c r="I386" s="32" t="n"/>
      <c r="J386" s="32" t="n"/>
      <c r="K386" s="24">
        <f>IF(B386="","",COUNT(I386:J386))</f>
        <v/>
      </c>
      <c r="L386" s="24" t="n"/>
      <c r="M386" s="24" t="n"/>
      <c r="N386" s="24" t="n"/>
      <c r="O386" s="24" t="n"/>
    </row>
    <row r="387">
      <c r="A387" s="24" t="inlineStr">
        <is>
          <t>M-386</t>
        </is>
      </c>
      <c r="B387" s="24" t="n"/>
      <c r="C387" s="24">
        <f>IF(B387="","",IFERROR(INDEX(Mentees!$D$2:$D$301,MATCH(B387,Mentees!$A$2:$A$301,0)),"ID not found"))</f>
        <v/>
      </c>
      <c r="D387" s="24" t="n"/>
      <c r="E387" s="24">
        <f>IF(D387="","",IFERROR(INDEX(Mentors!$D$2:$D$151,MATCH(D387,Mentors!$A$2:$A$151,0)),"ID not found"))</f>
        <v/>
      </c>
      <c r="F387" s="24">
        <f>IF(D387="","",IFERROR(INDEX(Mentors!$F$2:$F$151,MATCH(D387,Mentors!$A$2:$A$151,0))&amp;"",""))</f>
        <v/>
      </c>
      <c r="G387" s="24">
        <f>IF(D387="","",IFERROR(INDEX(Mentors!$P$2:$P$151,MATCH(D387,Mentors!$A$2:$A$151,0))&amp;"",""))</f>
        <v/>
      </c>
      <c r="H387" s="32" t="n"/>
      <c r="I387" s="32" t="n"/>
      <c r="J387" s="32" t="n"/>
      <c r="K387" s="24">
        <f>IF(B387="","",COUNT(I387:J387))</f>
        <v/>
      </c>
      <c r="L387" s="24" t="n"/>
      <c r="M387" s="24" t="n"/>
      <c r="N387" s="24" t="n"/>
      <c r="O387" s="24" t="n"/>
    </row>
    <row r="388">
      <c r="A388" s="24" t="inlineStr">
        <is>
          <t>M-387</t>
        </is>
      </c>
      <c r="B388" s="24" t="n"/>
      <c r="C388" s="24">
        <f>IF(B388="","",IFERROR(INDEX(Mentees!$D$2:$D$301,MATCH(B388,Mentees!$A$2:$A$301,0)),"ID not found"))</f>
        <v/>
      </c>
      <c r="D388" s="24" t="n"/>
      <c r="E388" s="24">
        <f>IF(D388="","",IFERROR(INDEX(Mentors!$D$2:$D$151,MATCH(D388,Mentors!$A$2:$A$151,0)),"ID not found"))</f>
        <v/>
      </c>
      <c r="F388" s="24">
        <f>IF(D388="","",IFERROR(INDEX(Mentors!$F$2:$F$151,MATCH(D388,Mentors!$A$2:$A$151,0))&amp;"",""))</f>
        <v/>
      </c>
      <c r="G388" s="24">
        <f>IF(D388="","",IFERROR(INDEX(Mentors!$P$2:$P$151,MATCH(D388,Mentors!$A$2:$A$151,0))&amp;"",""))</f>
        <v/>
      </c>
      <c r="H388" s="32" t="n"/>
      <c r="I388" s="32" t="n"/>
      <c r="J388" s="32" t="n"/>
      <c r="K388" s="24">
        <f>IF(B388="","",COUNT(I388:J388))</f>
        <v/>
      </c>
      <c r="L388" s="24" t="n"/>
      <c r="M388" s="24" t="n"/>
      <c r="N388" s="24" t="n"/>
      <c r="O388" s="24" t="n"/>
    </row>
    <row r="389">
      <c r="A389" s="24" t="inlineStr">
        <is>
          <t>M-388</t>
        </is>
      </c>
      <c r="B389" s="24" t="n"/>
      <c r="C389" s="24">
        <f>IF(B389="","",IFERROR(INDEX(Mentees!$D$2:$D$301,MATCH(B389,Mentees!$A$2:$A$301,0)),"ID not found"))</f>
        <v/>
      </c>
      <c r="D389" s="24" t="n"/>
      <c r="E389" s="24">
        <f>IF(D389="","",IFERROR(INDEX(Mentors!$D$2:$D$151,MATCH(D389,Mentors!$A$2:$A$151,0)),"ID not found"))</f>
        <v/>
      </c>
      <c r="F389" s="24">
        <f>IF(D389="","",IFERROR(INDEX(Mentors!$F$2:$F$151,MATCH(D389,Mentors!$A$2:$A$151,0))&amp;"",""))</f>
        <v/>
      </c>
      <c r="G389" s="24">
        <f>IF(D389="","",IFERROR(INDEX(Mentors!$P$2:$P$151,MATCH(D389,Mentors!$A$2:$A$151,0))&amp;"",""))</f>
        <v/>
      </c>
      <c r="H389" s="32" t="n"/>
      <c r="I389" s="32" t="n"/>
      <c r="J389" s="32" t="n"/>
      <c r="K389" s="24">
        <f>IF(B389="","",COUNT(I389:J389))</f>
        <v/>
      </c>
      <c r="L389" s="24" t="n"/>
      <c r="M389" s="24" t="n"/>
      <c r="N389" s="24" t="n"/>
      <c r="O389" s="24" t="n"/>
    </row>
    <row r="390">
      <c r="A390" s="24" t="inlineStr">
        <is>
          <t>M-389</t>
        </is>
      </c>
      <c r="B390" s="24" t="n"/>
      <c r="C390" s="24">
        <f>IF(B390="","",IFERROR(INDEX(Mentees!$D$2:$D$301,MATCH(B390,Mentees!$A$2:$A$301,0)),"ID not found"))</f>
        <v/>
      </c>
      <c r="D390" s="24" t="n"/>
      <c r="E390" s="24">
        <f>IF(D390="","",IFERROR(INDEX(Mentors!$D$2:$D$151,MATCH(D390,Mentors!$A$2:$A$151,0)),"ID not found"))</f>
        <v/>
      </c>
      <c r="F390" s="24">
        <f>IF(D390="","",IFERROR(INDEX(Mentors!$F$2:$F$151,MATCH(D390,Mentors!$A$2:$A$151,0))&amp;"",""))</f>
        <v/>
      </c>
      <c r="G390" s="24">
        <f>IF(D390="","",IFERROR(INDEX(Mentors!$P$2:$P$151,MATCH(D390,Mentors!$A$2:$A$151,0))&amp;"",""))</f>
        <v/>
      </c>
      <c r="H390" s="32" t="n"/>
      <c r="I390" s="32" t="n"/>
      <c r="J390" s="32" t="n"/>
      <c r="K390" s="24">
        <f>IF(B390="","",COUNT(I390:J390))</f>
        <v/>
      </c>
      <c r="L390" s="24" t="n"/>
      <c r="M390" s="24" t="n"/>
      <c r="N390" s="24" t="n"/>
      <c r="O390" s="24" t="n"/>
    </row>
    <row r="391">
      <c r="A391" s="24" t="inlineStr">
        <is>
          <t>M-390</t>
        </is>
      </c>
      <c r="B391" s="24" t="n"/>
      <c r="C391" s="24">
        <f>IF(B391="","",IFERROR(INDEX(Mentees!$D$2:$D$301,MATCH(B391,Mentees!$A$2:$A$301,0)),"ID not found"))</f>
        <v/>
      </c>
      <c r="D391" s="24" t="n"/>
      <c r="E391" s="24">
        <f>IF(D391="","",IFERROR(INDEX(Mentors!$D$2:$D$151,MATCH(D391,Mentors!$A$2:$A$151,0)),"ID not found"))</f>
        <v/>
      </c>
      <c r="F391" s="24">
        <f>IF(D391="","",IFERROR(INDEX(Mentors!$F$2:$F$151,MATCH(D391,Mentors!$A$2:$A$151,0))&amp;"",""))</f>
        <v/>
      </c>
      <c r="G391" s="24">
        <f>IF(D391="","",IFERROR(INDEX(Mentors!$P$2:$P$151,MATCH(D391,Mentors!$A$2:$A$151,0))&amp;"",""))</f>
        <v/>
      </c>
      <c r="H391" s="32" t="n"/>
      <c r="I391" s="32" t="n"/>
      <c r="J391" s="32" t="n"/>
      <c r="K391" s="24">
        <f>IF(B391="","",COUNT(I391:J391))</f>
        <v/>
      </c>
      <c r="L391" s="24" t="n"/>
      <c r="M391" s="24" t="n"/>
      <c r="N391" s="24" t="n"/>
      <c r="O391" s="24" t="n"/>
    </row>
    <row r="392">
      <c r="A392" s="24" t="inlineStr">
        <is>
          <t>M-391</t>
        </is>
      </c>
      <c r="B392" s="24" t="n"/>
      <c r="C392" s="24">
        <f>IF(B392="","",IFERROR(INDEX(Mentees!$D$2:$D$301,MATCH(B392,Mentees!$A$2:$A$301,0)),"ID not found"))</f>
        <v/>
      </c>
      <c r="D392" s="24" t="n"/>
      <c r="E392" s="24">
        <f>IF(D392="","",IFERROR(INDEX(Mentors!$D$2:$D$151,MATCH(D392,Mentors!$A$2:$A$151,0)),"ID not found"))</f>
        <v/>
      </c>
      <c r="F392" s="24">
        <f>IF(D392="","",IFERROR(INDEX(Mentors!$F$2:$F$151,MATCH(D392,Mentors!$A$2:$A$151,0))&amp;"",""))</f>
        <v/>
      </c>
      <c r="G392" s="24">
        <f>IF(D392="","",IFERROR(INDEX(Mentors!$P$2:$P$151,MATCH(D392,Mentors!$A$2:$A$151,0))&amp;"",""))</f>
        <v/>
      </c>
      <c r="H392" s="32" t="n"/>
      <c r="I392" s="32" t="n"/>
      <c r="J392" s="32" t="n"/>
      <c r="K392" s="24">
        <f>IF(B392="","",COUNT(I392:J392))</f>
        <v/>
      </c>
      <c r="L392" s="24" t="n"/>
      <c r="M392" s="24" t="n"/>
      <c r="N392" s="24" t="n"/>
      <c r="O392" s="24" t="n"/>
    </row>
    <row r="393">
      <c r="A393" s="24" t="inlineStr">
        <is>
          <t>M-392</t>
        </is>
      </c>
      <c r="B393" s="24" t="n"/>
      <c r="C393" s="24">
        <f>IF(B393="","",IFERROR(INDEX(Mentees!$D$2:$D$301,MATCH(B393,Mentees!$A$2:$A$301,0)),"ID not found"))</f>
        <v/>
      </c>
      <c r="D393" s="24" t="n"/>
      <c r="E393" s="24">
        <f>IF(D393="","",IFERROR(INDEX(Mentors!$D$2:$D$151,MATCH(D393,Mentors!$A$2:$A$151,0)),"ID not found"))</f>
        <v/>
      </c>
      <c r="F393" s="24">
        <f>IF(D393="","",IFERROR(INDEX(Mentors!$F$2:$F$151,MATCH(D393,Mentors!$A$2:$A$151,0))&amp;"",""))</f>
        <v/>
      </c>
      <c r="G393" s="24">
        <f>IF(D393="","",IFERROR(INDEX(Mentors!$P$2:$P$151,MATCH(D393,Mentors!$A$2:$A$151,0))&amp;"",""))</f>
        <v/>
      </c>
      <c r="H393" s="32" t="n"/>
      <c r="I393" s="32" t="n"/>
      <c r="J393" s="32" t="n"/>
      <c r="K393" s="24">
        <f>IF(B393="","",COUNT(I393:J393))</f>
        <v/>
      </c>
      <c r="L393" s="24" t="n"/>
      <c r="M393" s="24" t="n"/>
      <c r="N393" s="24" t="n"/>
      <c r="O393" s="24" t="n"/>
    </row>
    <row r="394">
      <c r="A394" s="24" t="inlineStr">
        <is>
          <t>M-393</t>
        </is>
      </c>
      <c r="B394" s="24" t="n"/>
      <c r="C394" s="24">
        <f>IF(B394="","",IFERROR(INDEX(Mentees!$D$2:$D$301,MATCH(B394,Mentees!$A$2:$A$301,0)),"ID not found"))</f>
        <v/>
      </c>
      <c r="D394" s="24" t="n"/>
      <c r="E394" s="24">
        <f>IF(D394="","",IFERROR(INDEX(Mentors!$D$2:$D$151,MATCH(D394,Mentors!$A$2:$A$151,0)),"ID not found"))</f>
        <v/>
      </c>
      <c r="F394" s="24">
        <f>IF(D394="","",IFERROR(INDEX(Mentors!$F$2:$F$151,MATCH(D394,Mentors!$A$2:$A$151,0))&amp;"",""))</f>
        <v/>
      </c>
      <c r="G394" s="24">
        <f>IF(D394="","",IFERROR(INDEX(Mentors!$P$2:$P$151,MATCH(D394,Mentors!$A$2:$A$151,0))&amp;"",""))</f>
        <v/>
      </c>
      <c r="H394" s="32" t="n"/>
      <c r="I394" s="32" t="n"/>
      <c r="J394" s="32" t="n"/>
      <c r="K394" s="24">
        <f>IF(B394="","",COUNT(I394:J394))</f>
        <v/>
      </c>
      <c r="L394" s="24" t="n"/>
      <c r="M394" s="24" t="n"/>
      <c r="N394" s="24" t="n"/>
      <c r="O394" s="24" t="n"/>
    </row>
    <row r="395">
      <c r="A395" s="24" t="inlineStr">
        <is>
          <t>M-394</t>
        </is>
      </c>
      <c r="B395" s="24" t="n"/>
      <c r="C395" s="24">
        <f>IF(B395="","",IFERROR(INDEX(Mentees!$D$2:$D$301,MATCH(B395,Mentees!$A$2:$A$301,0)),"ID not found"))</f>
        <v/>
      </c>
      <c r="D395" s="24" t="n"/>
      <c r="E395" s="24">
        <f>IF(D395="","",IFERROR(INDEX(Mentors!$D$2:$D$151,MATCH(D395,Mentors!$A$2:$A$151,0)),"ID not found"))</f>
        <v/>
      </c>
      <c r="F395" s="24">
        <f>IF(D395="","",IFERROR(INDEX(Mentors!$F$2:$F$151,MATCH(D395,Mentors!$A$2:$A$151,0))&amp;"",""))</f>
        <v/>
      </c>
      <c r="G395" s="24">
        <f>IF(D395="","",IFERROR(INDEX(Mentors!$P$2:$P$151,MATCH(D395,Mentors!$A$2:$A$151,0))&amp;"",""))</f>
        <v/>
      </c>
      <c r="H395" s="32" t="n"/>
      <c r="I395" s="32" t="n"/>
      <c r="J395" s="32" t="n"/>
      <c r="K395" s="24">
        <f>IF(B395="","",COUNT(I395:J395))</f>
        <v/>
      </c>
      <c r="L395" s="24" t="n"/>
      <c r="M395" s="24" t="n"/>
      <c r="N395" s="24" t="n"/>
      <c r="O395" s="24" t="n"/>
    </row>
    <row r="396">
      <c r="A396" s="24" t="inlineStr">
        <is>
          <t>M-395</t>
        </is>
      </c>
      <c r="B396" s="24" t="n"/>
      <c r="C396" s="24">
        <f>IF(B396="","",IFERROR(INDEX(Mentees!$D$2:$D$301,MATCH(B396,Mentees!$A$2:$A$301,0)),"ID not found"))</f>
        <v/>
      </c>
      <c r="D396" s="24" t="n"/>
      <c r="E396" s="24">
        <f>IF(D396="","",IFERROR(INDEX(Mentors!$D$2:$D$151,MATCH(D396,Mentors!$A$2:$A$151,0)),"ID not found"))</f>
        <v/>
      </c>
      <c r="F396" s="24">
        <f>IF(D396="","",IFERROR(INDEX(Mentors!$F$2:$F$151,MATCH(D396,Mentors!$A$2:$A$151,0))&amp;"",""))</f>
        <v/>
      </c>
      <c r="G396" s="24">
        <f>IF(D396="","",IFERROR(INDEX(Mentors!$P$2:$P$151,MATCH(D396,Mentors!$A$2:$A$151,0))&amp;"",""))</f>
        <v/>
      </c>
      <c r="H396" s="32" t="n"/>
      <c r="I396" s="32" t="n"/>
      <c r="J396" s="32" t="n"/>
      <c r="K396" s="24">
        <f>IF(B396="","",COUNT(I396:J396))</f>
        <v/>
      </c>
      <c r="L396" s="24" t="n"/>
      <c r="M396" s="24" t="n"/>
      <c r="N396" s="24" t="n"/>
      <c r="O396" s="24" t="n"/>
    </row>
    <row r="397">
      <c r="A397" s="24" t="inlineStr">
        <is>
          <t>M-396</t>
        </is>
      </c>
      <c r="B397" s="24" t="n"/>
      <c r="C397" s="24">
        <f>IF(B397="","",IFERROR(INDEX(Mentees!$D$2:$D$301,MATCH(B397,Mentees!$A$2:$A$301,0)),"ID not found"))</f>
        <v/>
      </c>
      <c r="D397" s="24" t="n"/>
      <c r="E397" s="24">
        <f>IF(D397="","",IFERROR(INDEX(Mentors!$D$2:$D$151,MATCH(D397,Mentors!$A$2:$A$151,0)),"ID not found"))</f>
        <v/>
      </c>
      <c r="F397" s="24">
        <f>IF(D397="","",IFERROR(INDEX(Mentors!$F$2:$F$151,MATCH(D397,Mentors!$A$2:$A$151,0))&amp;"",""))</f>
        <v/>
      </c>
      <c r="G397" s="24">
        <f>IF(D397="","",IFERROR(INDEX(Mentors!$P$2:$P$151,MATCH(D397,Mentors!$A$2:$A$151,0))&amp;"",""))</f>
        <v/>
      </c>
      <c r="H397" s="32" t="n"/>
      <c r="I397" s="32" t="n"/>
      <c r="J397" s="32" t="n"/>
      <c r="K397" s="24">
        <f>IF(B397="","",COUNT(I397:J397))</f>
        <v/>
      </c>
      <c r="L397" s="24" t="n"/>
      <c r="M397" s="24" t="n"/>
      <c r="N397" s="24" t="n"/>
      <c r="O397" s="24" t="n"/>
    </row>
    <row r="398">
      <c r="A398" s="24" t="inlineStr">
        <is>
          <t>M-397</t>
        </is>
      </c>
      <c r="B398" s="24" t="n"/>
      <c r="C398" s="24">
        <f>IF(B398="","",IFERROR(INDEX(Mentees!$D$2:$D$301,MATCH(B398,Mentees!$A$2:$A$301,0)),"ID not found"))</f>
        <v/>
      </c>
      <c r="D398" s="24" t="n"/>
      <c r="E398" s="24">
        <f>IF(D398="","",IFERROR(INDEX(Mentors!$D$2:$D$151,MATCH(D398,Mentors!$A$2:$A$151,0)),"ID not found"))</f>
        <v/>
      </c>
      <c r="F398" s="24">
        <f>IF(D398="","",IFERROR(INDEX(Mentors!$F$2:$F$151,MATCH(D398,Mentors!$A$2:$A$151,0))&amp;"",""))</f>
        <v/>
      </c>
      <c r="G398" s="24">
        <f>IF(D398="","",IFERROR(INDEX(Mentors!$P$2:$P$151,MATCH(D398,Mentors!$A$2:$A$151,0))&amp;"",""))</f>
        <v/>
      </c>
      <c r="H398" s="32" t="n"/>
      <c r="I398" s="32" t="n"/>
      <c r="J398" s="32" t="n"/>
      <c r="K398" s="24">
        <f>IF(B398="","",COUNT(I398:J398))</f>
        <v/>
      </c>
      <c r="L398" s="24" t="n"/>
      <c r="M398" s="24" t="n"/>
      <c r="N398" s="24" t="n"/>
      <c r="O398" s="24" t="n"/>
    </row>
    <row r="399">
      <c r="A399" s="24" t="inlineStr">
        <is>
          <t>M-398</t>
        </is>
      </c>
      <c r="B399" s="24" t="n"/>
      <c r="C399" s="24">
        <f>IF(B399="","",IFERROR(INDEX(Mentees!$D$2:$D$301,MATCH(B399,Mentees!$A$2:$A$301,0)),"ID not found"))</f>
        <v/>
      </c>
      <c r="D399" s="24" t="n"/>
      <c r="E399" s="24">
        <f>IF(D399="","",IFERROR(INDEX(Mentors!$D$2:$D$151,MATCH(D399,Mentors!$A$2:$A$151,0)),"ID not found"))</f>
        <v/>
      </c>
      <c r="F399" s="24">
        <f>IF(D399="","",IFERROR(INDEX(Mentors!$F$2:$F$151,MATCH(D399,Mentors!$A$2:$A$151,0))&amp;"",""))</f>
        <v/>
      </c>
      <c r="G399" s="24">
        <f>IF(D399="","",IFERROR(INDEX(Mentors!$P$2:$P$151,MATCH(D399,Mentors!$A$2:$A$151,0))&amp;"",""))</f>
        <v/>
      </c>
      <c r="H399" s="32" t="n"/>
      <c r="I399" s="32" t="n"/>
      <c r="J399" s="32" t="n"/>
      <c r="K399" s="24">
        <f>IF(B399="","",COUNT(I399:J399))</f>
        <v/>
      </c>
      <c r="L399" s="24" t="n"/>
      <c r="M399" s="24" t="n"/>
      <c r="N399" s="24" t="n"/>
      <c r="O399" s="24" t="n"/>
    </row>
    <row r="400">
      <c r="A400" s="24" t="inlineStr">
        <is>
          <t>M-399</t>
        </is>
      </c>
      <c r="B400" s="24" t="n"/>
      <c r="C400" s="24">
        <f>IF(B400="","",IFERROR(INDEX(Mentees!$D$2:$D$301,MATCH(B400,Mentees!$A$2:$A$301,0)),"ID not found"))</f>
        <v/>
      </c>
      <c r="D400" s="24" t="n"/>
      <c r="E400" s="24">
        <f>IF(D400="","",IFERROR(INDEX(Mentors!$D$2:$D$151,MATCH(D400,Mentors!$A$2:$A$151,0)),"ID not found"))</f>
        <v/>
      </c>
      <c r="F400" s="24">
        <f>IF(D400="","",IFERROR(INDEX(Mentors!$F$2:$F$151,MATCH(D400,Mentors!$A$2:$A$151,0))&amp;"",""))</f>
        <v/>
      </c>
      <c r="G400" s="24">
        <f>IF(D400="","",IFERROR(INDEX(Mentors!$P$2:$P$151,MATCH(D400,Mentors!$A$2:$A$151,0))&amp;"",""))</f>
        <v/>
      </c>
      <c r="H400" s="32" t="n"/>
      <c r="I400" s="32" t="n"/>
      <c r="J400" s="32" t="n"/>
      <c r="K400" s="24">
        <f>IF(B400="","",COUNT(I400:J400))</f>
        <v/>
      </c>
      <c r="L400" s="24" t="n"/>
      <c r="M400" s="24" t="n"/>
      <c r="N400" s="24" t="n"/>
      <c r="O400" s="24" t="n"/>
    </row>
    <row r="401">
      <c r="A401" s="24" t="inlineStr">
        <is>
          <t>M-400</t>
        </is>
      </c>
      <c r="B401" s="24" t="n"/>
      <c r="C401" s="24">
        <f>IF(B401="","",IFERROR(INDEX(Mentees!$D$2:$D$301,MATCH(B401,Mentees!$A$2:$A$301,0)),"ID not found"))</f>
        <v/>
      </c>
      <c r="D401" s="24" t="n"/>
      <c r="E401" s="24">
        <f>IF(D401="","",IFERROR(INDEX(Mentors!$D$2:$D$151,MATCH(D401,Mentors!$A$2:$A$151,0)),"ID not found"))</f>
        <v/>
      </c>
      <c r="F401" s="24">
        <f>IF(D401="","",IFERROR(INDEX(Mentors!$F$2:$F$151,MATCH(D401,Mentors!$A$2:$A$151,0))&amp;"",""))</f>
        <v/>
      </c>
      <c r="G401" s="24">
        <f>IF(D401="","",IFERROR(INDEX(Mentors!$P$2:$P$151,MATCH(D401,Mentors!$A$2:$A$151,0))&amp;"",""))</f>
        <v/>
      </c>
      <c r="H401" s="32" t="n"/>
      <c r="I401" s="32" t="n"/>
      <c r="J401" s="32" t="n"/>
      <c r="K401" s="24">
        <f>IF(B401="","",COUNT(I401:J401))</f>
        <v/>
      </c>
      <c r="L401" s="24" t="n"/>
      <c r="M401" s="24" t="n"/>
      <c r="N401" s="24" t="n"/>
      <c r="O401" s="24" t="n"/>
    </row>
    <row r="402">
      <c r="A402" s="24" t="inlineStr">
        <is>
          <t>M-401</t>
        </is>
      </c>
      <c r="B402" s="24" t="n"/>
      <c r="C402" s="24">
        <f>IF(B402="","",IFERROR(INDEX(Mentees!$D$2:$D$301,MATCH(B402,Mentees!$A$2:$A$301,0)),"ID not found"))</f>
        <v/>
      </c>
      <c r="D402" s="24" t="n"/>
      <c r="E402" s="24">
        <f>IF(D402="","",IFERROR(INDEX(Mentors!$D$2:$D$151,MATCH(D402,Mentors!$A$2:$A$151,0)),"ID not found"))</f>
        <v/>
      </c>
      <c r="F402" s="24">
        <f>IF(D402="","",IFERROR(INDEX(Mentors!$F$2:$F$151,MATCH(D402,Mentors!$A$2:$A$151,0))&amp;"",""))</f>
        <v/>
      </c>
      <c r="G402" s="24">
        <f>IF(D402="","",IFERROR(INDEX(Mentors!$P$2:$P$151,MATCH(D402,Mentors!$A$2:$A$151,0))&amp;"",""))</f>
        <v/>
      </c>
      <c r="H402" s="32" t="n"/>
      <c r="I402" s="32" t="n"/>
      <c r="J402" s="32" t="n"/>
      <c r="K402" s="24">
        <f>IF(B402="","",COUNT(I402:J402))</f>
        <v/>
      </c>
      <c r="L402" s="24" t="n"/>
      <c r="M402" s="24" t="n"/>
      <c r="N402" s="24" t="n"/>
      <c r="O402" s="24" t="n"/>
    </row>
    <row r="403">
      <c r="A403" s="24" t="inlineStr">
        <is>
          <t>M-402</t>
        </is>
      </c>
      <c r="B403" s="24" t="n"/>
      <c r="C403" s="24">
        <f>IF(B403="","",IFERROR(INDEX(Mentees!$D$2:$D$301,MATCH(B403,Mentees!$A$2:$A$301,0)),"ID not found"))</f>
        <v/>
      </c>
      <c r="D403" s="24" t="n"/>
      <c r="E403" s="24">
        <f>IF(D403="","",IFERROR(INDEX(Mentors!$D$2:$D$151,MATCH(D403,Mentors!$A$2:$A$151,0)),"ID not found"))</f>
        <v/>
      </c>
      <c r="F403" s="24">
        <f>IF(D403="","",IFERROR(INDEX(Mentors!$F$2:$F$151,MATCH(D403,Mentors!$A$2:$A$151,0))&amp;"",""))</f>
        <v/>
      </c>
      <c r="G403" s="24">
        <f>IF(D403="","",IFERROR(INDEX(Mentors!$P$2:$P$151,MATCH(D403,Mentors!$A$2:$A$151,0))&amp;"",""))</f>
        <v/>
      </c>
      <c r="H403" s="32" t="n"/>
      <c r="I403" s="32" t="n"/>
      <c r="J403" s="32" t="n"/>
      <c r="K403" s="24">
        <f>IF(B403="","",COUNT(I403:J403))</f>
        <v/>
      </c>
      <c r="L403" s="24" t="n"/>
      <c r="M403" s="24" t="n"/>
      <c r="N403" s="24" t="n"/>
      <c r="O403" s="24" t="n"/>
    </row>
    <row r="404">
      <c r="A404" s="24" t="inlineStr">
        <is>
          <t>M-403</t>
        </is>
      </c>
      <c r="B404" s="24" t="n"/>
      <c r="C404" s="24">
        <f>IF(B404="","",IFERROR(INDEX(Mentees!$D$2:$D$301,MATCH(B404,Mentees!$A$2:$A$301,0)),"ID not found"))</f>
        <v/>
      </c>
      <c r="D404" s="24" t="n"/>
      <c r="E404" s="24">
        <f>IF(D404="","",IFERROR(INDEX(Mentors!$D$2:$D$151,MATCH(D404,Mentors!$A$2:$A$151,0)),"ID not found"))</f>
        <v/>
      </c>
      <c r="F404" s="24">
        <f>IF(D404="","",IFERROR(INDEX(Mentors!$F$2:$F$151,MATCH(D404,Mentors!$A$2:$A$151,0))&amp;"",""))</f>
        <v/>
      </c>
      <c r="G404" s="24">
        <f>IF(D404="","",IFERROR(INDEX(Mentors!$P$2:$P$151,MATCH(D404,Mentors!$A$2:$A$151,0))&amp;"",""))</f>
        <v/>
      </c>
      <c r="H404" s="32" t="n"/>
      <c r="I404" s="32" t="n"/>
      <c r="J404" s="32" t="n"/>
      <c r="K404" s="24">
        <f>IF(B404="","",COUNT(I404:J404))</f>
        <v/>
      </c>
      <c r="L404" s="24" t="n"/>
      <c r="M404" s="24" t="n"/>
      <c r="N404" s="24" t="n"/>
      <c r="O404" s="24" t="n"/>
    </row>
    <row r="405">
      <c r="A405" s="24" t="inlineStr">
        <is>
          <t>M-404</t>
        </is>
      </c>
      <c r="B405" s="24" t="n"/>
      <c r="C405" s="24">
        <f>IF(B405="","",IFERROR(INDEX(Mentees!$D$2:$D$301,MATCH(B405,Mentees!$A$2:$A$301,0)),"ID not found"))</f>
        <v/>
      </c>
      <c r="D405" s="24" t="n"/>
      <c r="E405" s="24">
        <f>IF(D405="","",IFERROR(INDEX(Mentors!$D$2:$D$151,MATCH(D405,Mentors!$A$2:$A$151,0)),"ID not found"))</f>
        <v/>
      </c>
      <c r="F405" s="24">
        <f>IF(D405="","",IFERROR(INDEX(Mentors!$F$2:$F$151,MATCH(D405,Mentors!$A$2:$A$151,0))&amp;"",""))</f>
        <v/>
      </c>
      <c r="G405" s="24">
        <f>IF(D405="","",IFERROR(INDEX(Mentors!$P$2:$P$151,MATCH(D405,Mentors!$A$2:$A$151,0))&amp;"",""))</f>
        <v/>
      </c>
      <c r="H405" s="32" t="n"/>
      <c r="I405" s="32" t="n"/>
      <c r="J405" s="32" t="n"/>
      <c r="K405" s="24">
        <f>IF(B405="","",COUNT(I405:J405))</f>
        <v/>
      </c>
      <c r="L405" s="24" t="n"/>
      <c r="M405" s="24" t="n"/>
      <c r="N405" s="24" t="n"/>
      <c r="O405" s="24" t="n"/>
    </row>
    <row r="406">
      <c r="A406" s="24" t="inlineStr">
        <is>
          <t>M-405</t>
        </is>
      </c>
      <c r="B406" s="24" t="n"/>
      <c r="C406" s="24">
        <f>IF(B406="","",IFERROR(INDEX(Mentees!$D$2:$D$301,MATCH(B406,Mentees!$A$2:$A$301,0)),"ID not found"))</f>
        <v/>
      </c>
      <c r="D406" s="24" t="n"/>
      <c r="E406" s="24">
        <f>IF(D406="","",IFERROR(INDEX(Mentors!$D$2:$D$151,MATCH(D406,Mentors!$A$2:$A$151,0)),"ID not found"))</f>
        <v/>
      </c>
      <c r="F406" s="24">
        <f>IF(D406="","",IFERROR(INDEX(Mentors!$F$2:$F$151,MATCH(D406,Mentors!$A$2:$A$151,0))&amp;"",""))</f>
        <v/>
      </c>
      <c r="G406" s="24">
        <f>IF(D406="","",IFERROR(INDEX(Mentors!$P$2:$P$151,MATCH(D406,Mentors!$A$2:$A$151,0))&amp;"",""))</f>
        <v/>
      </c>
      <c r="H406" s="32" t="n"/>
      <c r="I406" s="32" t="n"/>
      <c r="J406" s="32" t="n"/>
      <c r="K406" s="24">
        <f>IF(B406="","",COUNT(I406:J406))</f>
        <v/>
      </c>
      <c r="L406" s="24" t="n"/>
      <c r="M406" s="24" t="n"/>
      <c r="N406" s="24" t="n"/>
      <c r="O406" s="24" t="n"/>
    </row>
    <row r="407">
      <c r="A407" s="24" t="inlineStr">
        <is>
          <t>M-406</t>
        </is>
      </c>
      <c r="B407" s="24" t="n"/>
      <c r="C407" s="24">
        <f>IF(B407="","",IFERROR(INDEX(Mentees!$D$2:$D$301,MATCH(B407,Mentees!$A$2:$A$301,0)),"ID not found"))</f>
        <v/>
      </c>
      <c r="D407" s="24" t="n"/>
      <c r="E407" s="24">
        <f>IF(D407="","",IFERROR(INDEX(Mentors!$D$2:$D$151,MATCH(D407,Mentors!$A$2:$A$151,0)),"ID not found"))</f>
        <v/>
      </c>
      <c r="F407" s="24">
        <f>IF(D407="","",IFERROR(INDEX(Mentors!$F$2:$F$151,MATCH(D407,Mentors!$A$2:$A$151,0))&amp;"",""))</f>
        <v/>
      </c>
      <c r="G407" s="24">
        <f>IF(D407="","",IFERROR(INDEX(Mentors!$P$2:$P$151,MATCH(D407,Mentors!$A$2:$A$151,0))&amp;"",""))</f>
        <v/>
      </c>
      <c r="H407" s="32" t="n"/>
      <c r="I407" s="32" t="n"/>
      <c r="J407" s="32" t="n"/>
      <c r="K407" s="24">
        <f>IF(B407="","",COUNT(I407:J407))</f>
        <v/>
      </c>
      <c r="L407" s="24" t="n"/>
      <c r="M407" s="24" t="n"/>
      <c r="N407" s="24" t="n"/>
      <c r="O407" s="24" t="n"/>
    </row>
    <row r="408">
      <c r="A408" s="24" t="inlineStr">
        <is>
          <t>M-407</t>
        </is>
      </c>
      <c r="B408" s="24" t="n"/>
      <c r="C408" s="24">
        <f>IF(B408="","",IFERROR(INDEX(Mentees!$D$2:$D$301,MATCH(B408,Mentees!$A$2:$A$301,0)),"ID not found"))</f>
        <v/>
      </c>
      <c r="D408" s="24" t="n"/>
      <c r="E408" s="24">
        <f>IF(D408="","",IFERROR(INDEX(Mentors!$D$2:$D$151,MATCH(D408,Mentors!$A$2:$A$151,0)),"ID not found"))</f>
        <v/>
      </c>
      <c r="F408" s="24">
        <f>IF(D408="","",IFERROR(INDEX(Mentors!$F$2:$F$151,MATCH(D408,Mentors!$A$2:$A$151,0))&amp;"",""))</f>
        <v/>
      </c>
      <c r="G408" s="24">
        <f>IF(D408="","",IFERROR(INDEX(Mentors!$P$2:$P$151,MATCH(D408,Mentors!$A$2:$A$151,0))&amp;"",""))</f>
        <v/>
      </c>
      <c r="H408" s="32" t="n"/>
      <c r="I408" s="32" t="n"/>
      <c r="J408" s="32" t="n"/>
      <c r="K408" s="24">
        <f>IF(B408="","",COUNT(I408:J408))</f>
        <v/>
      </c>
      <c r="L408" s="24" t="n"/>
      <c r="M408" s="24" t="n"/>
      <c r="N408" s="24" t="n"/>
      <c r="O408" s="24" t="n"/>
    </row>
    <row r="409">
      <c r="A409" s="24" t="inlineStr">
        <is>
          <t>M-408</t>
        </is>
      </c>
      <c r="B409" s="24" t="n"/>
      <c r="C409" s="24">
        <f>IF(B409="","",IFERROR(INDEX(Mentees!$D$2:$D$301,MATCH(B409,Mentees!$A$2:$A$301,0)),"ID not found"))</f>
        <v/>
      </c>
      <c r="D409" s="24" t="n"/>
      <c r="E409" s="24">
        <f>IF(D409="","",IFERROR(INDEX(Mentors!$D$2:$D$151,MATCH(D409,Mentors!$A$2:$A$151,0)),"ID not found"))</f>
        <v/>
      </c>
      <c r="F409" s="24">
        <f>IF(D409="","",IFERROR(INDEX(Mentors!$F$2:$F$151,MATCH(D409,Mentors!$A$2:$A$151,0))&amp;"",""))</f>
        <v/>
      </c>
      <c r="G409" s="24">
        <f>IF(D409="","",IFERROR(INDEX(Mentors!$P$2:$P$151,MATCH(D409,Mentors!$A$2:$A$151,0))&amp;"",""))</f>
        <v/>
      </c>
      <c r="H409" s="32" t="n"/>
      <c r="I409" s="32" t="n"/>
      <c r="J409" s="32" t="n"/>
      <c r="K409" s="24">
        <f>IF(B409="","",COUNT(I409:J409))</f>
        <v/>
      </c>
      <c r="L409" s="24" t="n"/>
      <c r="M409" s="24" t="n"/>
      <c r="N409" s="24" t="n"/>
      <c r="O409" s="24" t="n"/>
    </row>
    <row r="410">
      <c r="A410" s="24" t="inlineStr">
        <is>
          <t>M-409</t>
        </is>
      </c>
      <c r="B410" s="24" t="n"/>
      <c r="C410" s="24">
        <f>IF(B410="","",IFERROR(INDEX(Mentees!$D$2:$D$301,MATCH(B410,Mentees!$A$2:$A$301,0)),"ID not found"))</f>
        <v/>
      </c>
      <c r="D410" s="24" t="n"/>
      <c r="E410" s="24">
        <f>IF(D410="","",IFERROR(INDEX(Mentors!$D$2:$D$151,MATCH(D410,Mentors!$A$2:$A$151,0)),"ID not found"))</f>
        <v/>
      </c>
      <c r="F410" s="24">
        <f>IF(D410="","",IFERROR(INDEX(Mentors!$F$2:$F$151,MATCH(D410,Mentors!$A$2:$A$151,0))&amp;"",""))</f>
        <v/>
      </c>
      <c r="G410" s="24">
        <f>IF(D410="","",IFERROR(INDEX(Mentors!$P$2:$P$151,MATCH(D410,Mentors!$A$2:$A$151,0))&amp;"",""))</f>
        <v/>
      </c>
      <c r="H410" s="32" t="n"/>
      <c r="I410" s="32" t="n"/>
      <c r="J410" s="32" t="n"/>
      <c r="K410" s="24">
        <f>IF(B410="","",COUNT(I410:J410))</f>
        <v/>
      </c>
      <c r="L410" s="24" t="n"/>
      <c r="M410" s="24" t="n"/>
      <c r="N410" s="24" t="n"/>
      <c r="O410" s="24" t="n"/>
    </row>
    <row r="411">
      <c r="A411" s="24" t="inlineStr">
        <is>
          <t>M-410</t>
        </is>
      </c>
      <c r="B411" s="24" t="n"/>
      <c r="C411" s="24">
        <f>IF(B411="","",IFERROR(INDEX(Mentees!$D$2:$D$301,MATCH(B411,Mentees!$A$2:$A$301,0)),"ID not found"))</f>
        <v/>
      </c>
      <c r="D411" s="24" t="n"/>
      <c r="E411" s="24">
        <f>IF(D411="","",IFERROR(INDEX(Mentors!$D$2:$D$151,MATCH(D411,Mentors!$A$2:$A$151,0)),"ID not found"))</f>
        <v/>
      </c>
      <c r="F411" s="24">
        <f>IF(D411="","",IFERROR(INDEX(Mentors!$F$2:$F$151,MATCH(D411,Mentors!$A$2:$A$151,0))&amp;"",""))</f>
        <v/>
      </c>
      <c r="G411" s="24">
        <f>IF(D411="","",IFERROR(INDEX(Mentors!$P$2:$P$151,MATCH(D411,Mentors!$A$2:$A$151,0))&amp;"",""))</f>
        <v/>
      </c>
      <c r="H411" s="32" t="n"/>
      <c r="I411" s="32" t="n"/>
      <c r="J411" s="32" t="n"/>
      <c r="K411" s="24">
        <f>IF(B411="","",COUNT(I411:J411))</f>
        <v/>
      </c>
      <c r="L411" s="24" t="n"/>
      <c r="M411" s="24" t="n"/>
      <c r="N411" s="24" t="n"/>
      <c r="O411" s="24" t="n"/>
    </row>
    <row r="412">
      <c r="A412" s="24" t="inlineStr">
        <is>
          <t>M-411</t>
        </is>
      </c>
      <c r="B412" s="24" t="n"/>
      <c r="C412" s="24">
        <f>IF(B412="","",IFERROR(INDEX(Mentees!$D$2:$D$301,MATCH(B412,Mentees!$A$2:$A$301,0)),"ID not found"))</f>
        <v/>
      </c>
      <c r="D412" s="24" t="n"/>
      <c r="E412" s="24">
        <f>IF(D412="","",IFERROR(INDEX(Mentors!$D$2:$D$151,MATCH(D412,Mentors!$A$2:$A$151,0)),"ID not found"))</f>
        <v/>
      </c>
      <c r="F412" s="24">
        <f>IF(D412="","",IFERROR(INDEX(Mentors!$F$2:$F$151,MATCH(D412,Mentors!$A$2:$A$151,0))&amp;"",""))</f>
        <v/>
      </c>
      <c r="G412" s="24">
        <f>IF(D412="","",IFERROR(INDEX(Mentors!$P$2:$P$151,MATCH(D412,Mentors!$A$2:$A$151,0))&amp;"",""))</f>
        <v/>
      </c>
      <c r="H412" s="32" t="n"/>
      <c r="I412" s="32" t="n"/>
      <c r="J412" s="32" t="n"/>
      <c r="K412" s="24">
        <f>IF(B412="","",COUNT(I412:J412))</f>
        <v/>
      </c>
      <c r="L412" s="24" t="n"/>
      <c r="M412" s="24" t="n"/>
      <c r="N412" s="24" t="n"/>
      <c r="O412" s="24" t="n"/>
    </row>
    <row r="413">
      <c r="A413" s="24" t="inlineStr">
        <is>
          <t>M-412</t>
        </is>
      </c>
      <c r="B413" s="24" t="n"/>
      <c r="C413" s="24">
        <f>IF(B413="","",IFERROR(INDEX(Mentees!$D$2:$D$301,MATCH(B413,Mentees!$A$2:$A$301,0)),"ID not found"))</f>
        <v/>
      </c>
      <c r="D413" s="24" t="n"/>
      <c r="E413" s="24">
        <f>IF(D413="","",IFERROR(INDEX(Mentors!$D$2:$D$151,MATCH(D413,Mentors!$A$2:$A$151,0)),"ID not found"))</f>
        <v/>
      </c>
      <c r="F413" s="24">
        <f>IF(D413="","",IFERROR(INDEX(Mentors!$F$2:$F$151,MATCH(D413,Mentors!$A$2:$A$151,0))&amp;"",""))</f>
        <v/>
      </c>
      <c r="G413" s="24">
        <f>IF(D413="","",IFERROR(INDEX(Mentors!$P$2:$P$151,MATCH(D413,Mentors!$A$2:$A$151,0))&amp;"",""))</f>
        <v/>
      </c>
      <c r="H413" s="32" t="n"/>
      <c r="I413" s="32" t="n"/>
      <c r="J413" s="32" t="n"/>
      <c r="K413" s="24">
        <f>IF(B413="","",COUNT(I413:J413))</f>
        <v/>
      </c>
      <c r="L413" s="24" t="n"/>
      <c r="M413" s="24" t="n"/>
      <c r="N413" s="24" t="n"/>
      <c r="O413" s="24" t="n"/>
    </row>
    <row r="414">
      <c r="A414" s="24" t="inlineStr">
        <is>
          <t>M-413</t>
        </is>
      </c>
      <c r="B414" s="24" t="n"/>
      <c r="C414" s="24">
        <f>IF(B414="","",IFERROR(INDEX(Mentees!$D$2:$D$301,MATCH(B414,Mentees!$A$2:$A$301,0)),"ID not found"))</f>
        <v/>
      </c>
      <c r="D414" s="24" t="n"/>
      <c r="E414" s="24">
        <f>IF(D414="","",IFERROR(INDEX(Mentors!$D$2:$D$151,MATCH(D414,Mentors!$A$2:$A$151,0)),"ID not found"))</f>
        <v/>
      </c>
      <c r="F414" s="24">
        <f>IF(D414="","",IFERROR(INDEX(Mentors!$F$2:$F$151,MATCH(D414,Mentors!$A$2:$A$151,0))&amp;"",""))</f>
        <v/>
      </c>
      <c r="G414" s="24">
        <f>IF(D414="","",IFERROR(INDEX(Mentors!$P$2:$P$151,MATCH(D414,Mentors!$A$2:$A$151,0))&amp;"",""))</f>
        <v/>
      </c>
      <c r="H414" s="32" t="n"/>
      <c r="I414" s="32" t="n"/>
      <c r="J414" s="32" t="n"/>
      <c r="K414" s="24">
        <f>IF(B414="","",COUNT(I414:J414))</f>
        <v/>
      </c>
      <c r="L414" s="24" t="n"/>
      <c r="M414" s="24" t="n"/>
      <c r="N414" s="24" t="n"/>
      <c r="O414" s="24" t="n"/>
    </row>
    <row r="415">
      <c r="A415" s="24" t="inlineStr">
        <is>
          <t>M-414</t>
        </is>
      </c>
      <c r="B415" s="24" t="n"/>
      <c r="C415" s="24">
        <f>IF(B415="","",IFERROR(INDEX(Mentees!$D$2:$D$301,MATCH(B415,Mentees!$A$2:$A$301,0)),"ID not found"))</f>
        <v/>
      </c>
      <c r="D415" s="24" t="n"/>
      <c r="E415" s="24">
        <f>IF(D415="","",IFERROR(INDEX(Mentors!$D$2:$D$151,MATCH(D415,Mentors!$A$2:$A$151,0)),"ID not found"))</f>
        <v/>
      </c>
      <c r="F415" s="24">
        <f>IF(D415="","",IFERROR(INDEX(Mentors!$F$2:$F$151,MATCH(D415,Mentors!$A$2:$A$151,0))&amp;"",""))</f>
        <v/>
      </c>
      <c r="G415" s="24">
        <f>IF(D415="","",IFERROR(INDEX(Mentors!$P$2:$P$151,MATCH(D415,Mentors!$A$2:$A$151,0))&amp;"",""))</f>
        <v/>
      </c>
      <c r="H415" s="32" t="n"/>
      <c r="I415" s="32" t="n"/>
      <c r="J415" s="32" t="n"/>
      <c r="K415" s="24">
        <f>IF(B415="","",COUNT(I415:J415))</f>
        <v/>
      </c>
      <c r="L415" s="24" t="n"/>
      <c r="M415" s="24" t="n"/>
      <c r="N415" s="24" t="n"/>
      <c r="O415" s="24" t="n"/>
    </row>
    <row r="416">
      <c r="A416" s="24" t="inlineStr">
        <is>
          <t>M-415</t>
        </is>
      </c>
      <c r="B416" s="24" t="n"/>
      <c r="C416" s="24">
        <f>IF(B416="","",IFERROR(INDEX(Mentees!$D$2:$D$301,MATCH(B416,Mentees!$A$2:$A$301,0)),"ID not found"))</f>
        <v/>
      </c>
      <c r="D416" s="24" t="n"/>
      <c r="E416" s="24">
        <f>IF(D416="","",IFERROR(INDEX(Mentors!$D$2:$D$151,MATCH(D416,Mentors!$A$2:$A$151,0)),"ID not found"))</f>
        <v/>
      </c>
      <c r="F416" s="24">
        <f>IF(D416="","",IFERROR(INDEX(Mentors!$F$2:$F$151,MATCH(D416,Mentors!$A$2:$A$151,0))&amp;"",""))</f>
        <v/>
      </c>
      <c r="G416" s="24">
        <f>IF(D416="","",IFERROR(INDEX(Mentors!$P$2:$P$151,MATCH(D416,Mentors!$A$2:$A$151,0))&amp;"",""))</f>
        <v/>
      </c>
      <c r="H416" s="32" t="n"/>
      <c r="I416" s="32" t="n"/>
      <c r="J416" s="32" t="n"/>
      <c r="K416" s="24">
        <f>IF(B416="","",COUNT(I416:J416))</f>
        <v/>
      </c>
      <c r="L416" s="24" t="n"/>
      <c r="M416" s="24" t="n"/>
      <c r="N416" s="24" t="n"/>
      <c r="O416" s="24" t="n"/>
    </row>
    <row r="417">
      <c r="A417" s="24" t="inlineStr">
        <is>
          <t>M-416</t>
        </is>
      </c>
      <c r="B417" s="24" t="n"/>
      <c r="C417" s="24">
        <f>IF(B417="","",IFERROR(INDEX(Mentees!$D$2:$D$301,MATCH(B417,Mentees!$A$2:$A$301,0)),"ID not found"))</f>
        <v/>
      </c>
      <c r="D417" s="24" t="n"/>
      <c r="E417" s="24">
        <f>IF(D417="","",IFERROR(INDEX(Mentors!$D$2:$D$151,MATCH(D417,Mentors!$A$2:$A$151,0)),"ID not found"))</f>
        <v/>
      </c>
      <c r="F417" s="24">
        <f>IF(D417="","",IFERROR(INDEX(Mentors!$F$2:$F$151,MATCH(D417,Mentors!$A$2:$A$151,0))&amp;"",""))</f>
        <v/>
      </c>
      <c r="G417" s="24">
        <f>IF(D417="","",IFERROR(INDEX(Mentors!$P$2:$P$151,MATCH(D417,Mentors!$A$2:$A$151,0))&amp;"",""))</f>
        <v/>
      </c>
      <c r="H417" s="32" t="n"/>
      <c r="I417" s="32" t="n"/>
      <c r="J417" s="32" t="n"/>
      <c r="K417" s="24">
        <f>IF(B417="","",COUNT(I417:J417))</f>
        <v/>
      </c>
      <c r="L417" s="24" t="n"/>
      <c r="M417" s="24" t="n"/>
      <c r="N417" s="24" t="n"/>
      <c r="O417" s="24" t="n"/>
    </row>
    <row r="418">
      <c r="A418" s="24" t="inlineStr">
        <is>
          <t>M-417</t>
        </is>
      </c>
      <c r="B418" s="24" t="n"/>
      <c r="C418" s="24">
        <f>IF(B418="","",IFERROR(INDEX(Mentees!$D$2:$D$301,MATCH(B418,Mentees!$A$2:$A$301,0)),"ID not found"))</f>
        <v/>
      </c>
      <c r="D418" s="24" t="n"/>
      <c r="E418" s="24">
        <f>IF(D418="","",IFERROR(INDEX(Mentors!$D$2:$D$151,MATCH(D418,Mentors!$A$2:$A$151,0)),"ID not found"))</f>
        <v/>
      </c>
      <c r="F418" s="24">
        <f>IF(D418="","",IFERROR(INDEX(Mentors!$F$2:$F$151,MATCH(D418,Mentors!$A$2:$A$151,0))&amp;"",""))</f>
        <v/>
      </c>
      <c r="G418" s="24">
        <f>IF(D418="","",IFERROR(INDEX(Mentors!$P$2:$P$151,MATCH(D418,Mentors!$A$2:$A$151,0))&amp;"",""))</f>
        <v/>
      </c>
      <c r="H418" s="32" t="n"/>
      <c r="I418" s="32" t="n"/>
      <c r="J418" s="32" t="n"/>
      <c r="K418" s="24">
        <f>IF(B418="","",COUNT(I418:J418))</f>
        <v/>
      </c>
      <c r="L418" s="24" t="n"/>
      <c r="M418" s="24" t="n"/>
      <c r="N418" s="24" t="n"/>
      <c r="O418" s="24" t="n"/>
    </row>
    <row r="419">
      <c r="A419" s="24" t="inlineStr">
        <is>
          <t>M-418</t>
        </is>
      </c>
      <c r="B419" s="24" t="n"/>
      <c r="C419" s="24">
        <f>IF(B419="","",IFERROR(INDEX(Mentees!$D$2:$D$301,MATCH(B419,Mentees!$A$2:$A$301,0)),"ID not found"))</f>
        <v/>
      </c>
      <c r="D419" s="24" t="n"/>
      <c r="E419" s="24">
        <f>IF(D419="","",IFERROR(INDEX(Mentors!$D$2:$D$151,MATCH(D419,Mentors!$A$2:$A$151,0)),"ID not found"))</f>
        <v/>
      </c>
      <c r="F419" s="24">
        <f>IF(D419="","",IFERROR(INDEX(Mentors!$F$2:$F$151,MATCH(D419,Mentors!$A$2:$A$151,0))&amp;"",""))</f>
        <v/>
      </c>
      <c r="G419" s="24">
        <f>IF(D419="","",IFERROR(INDEX(Mentors!$P$2:$P$151,MATCH(D419,Mentors!$A$2:$A$151,0))&amp;"",""))</f>
        <v/>
      </c>
      <c r="H419" s="32" t="n"/>
      <c r="I419" s="32" t="n"/>
      <c r="J419" s="32" t="n"/>
      <c r="K419" s="24">
        <f>IF(B419="","",COUNT(I419:J419))</f>
        <v/>
      </c>
      <c r="L419" s="24" t="n"/>
      <c r="M419" s="24" t="n"/>
      <c r="N419" s="24" t="n"/>
      <c r="O419" s="24" t="n"/>
    </row>
    <row r="420">
      <c r="A420" s="24" t="inlineStr">
        <is>
          <t>M-419</t>
        </is>
      </c>
      <c r="B420" s="24" t="n"/>
      <c r="C420" s="24">
        <f>IF(B420="","",IFERROR(INDEX(Mentees!$D$2:$D$301,MATCH(B420,Mentees!$A$2:$A$301,0)),"ID not found"))</f>
        <v/>
      </c>
      <c r="D420" s="24" t="n"/>
      <c r="E420" s="24">
        <f>IF(D420="","",IFERROR(INDEX(Mentors!$D$2:$D$151,MATCH(D420,Mentors!$A$2:$A$151,0)),"ID not found"))</f>
        <v/>
      </c>
      <c r="F420" s="24">
        <f>IF(D420="","",IFERROR(INDEX(Mentors!$F$2:$F$151,MATCH(D420,Mentors!$A$2:$A$151,0))&amp;"",""))</f>
        <v/>
      </c>
      <c r="G420" s="24">
        <f>IF(D420="","",IFERROR(INDEX(Mentors!$P$2:$P$151,MATCH(D420,Mentors!$A$2:$A$151,0))&amp;"",""))</f>
        <v/>
      </c>
      <c r="H420" s="32" t="n"/>
      <c r="I420" s="32" t="n"/>
      <c r="J420" s="32" t="n"/>
      <c r="K420" s="24">
        <f>IF(B420="","",COUNT(I420:J420))</f>
        <v/>
      </c>
      <c r="L420" s="24" t="n"/>
      <c r="M420" s="24" t="n"/>
      <c r="N420" s="24" t="n"/>
      <c r="O420" s="24" t="n"/>
    </row>
    <row r="421">
      <c r="A421" s="24" t="inlineStr">
        <is>
          <t>M-420</t>
        </is>
      </c>
      <c r="B421" s="24" t="n"/>
      <c r="C421" s="24">
        <f>IF(B421="","",IFERROR(INDEX(Mentees!$D$2:$D$301,MATCH(B421,Mentees!$A$2:$A$301,0)),"ID not found"))</f>
        <v/>
      </c>
      <c r="D421" s="24" t="n"/>
      <c r="E421" s="24">
        <f>IF(D421="","",IFERROR(INDEX(Mentors!$D$2:$D$151,MATCH(D421,Mentors!$A$2:$A$151,0)),"ID not found"))</f>
        <v/>
      </c>
      <c r="F421" s="24">
        <f>IF(D421="","",IFERROR(INDEX(Mentors!$F$2:$F$151,MATCH(D421,Mentors!$A$2:$A$151,0))&amp;"",""))</f>
        <v/>
      </c>
      <c r="G421" s="24">
        <f>IF(D421="","",IFERROR(INDEX(Mentors!$P$2:$P$151,MATCH(D421,Mentors!$A$2:$A$151,0))&amp;"",""))</f>
        <v/>
      </c>
      <c r="H421" s="32" t="n"/>
      <c r="I421" s="32" t="n"/>
      <c r="J421" s="32" t="n"/>
      <c r="K421" s="24">
        <f>IF(B421="","",COUNT(I421:J421))</f>
        <v/>
      </c>
      <c r="L421" s="24" t="n"/>
      <c r="M421" s="24" t="n"/>
      <c r="N421" s="24" t="n"/>
      <c r="O421" s="24" t="n"/>
    </row>
    <row r="422">
      <c r="A422" s="24" t="inlineStr">
        <is>
          <t>M-421</t>
        </is>
      </c>
      <c r="B422" s="24" t="n"/>
      <c r="C422" s="24">
        <f>IF(B422="","",IFERROR(INDEX(Mentees!$D$2:$D$301,MATCH(B422,Mentees!$A$2:$A$301,0)),"ID not found"))</f>
        <v/>
      </c>
      <c r="D422" s="24" t="n"/>
      <c r="E422" s="24">
        <f>IF(D422="","",IFERROR(INDEX(Mentors!$D$2:$D$151,MATCH(D422,Mentors!$A$2:$A$151,0)),"ID not found"))</f>
        <v/>
      </c>
      <c r="F422" s="24">
        <f>IF(D422="","",IFERROR(INDEX(Mentors!$F$2:$F$151,MATCH(D422,Mentors!$A$2:$A$151,0))&amp;"",""))</f>
        <v/>
      </c>
      <c r="G422" s="24">
        <f>IF(D422="","",IFERROR(INDEX(Mentors!$P$2:$P$151,MATCH(D422,Mentors!$A$2:$A$151,0))&amp;"",""))</f>
        <v/>
      </c>
      <c r="H422" s="32" t="n"/>
      <c r="I422" s="32" t="n"/>
      <c r="J422" s="32" t="n"/>
      <c r="K422" s="24">
        <f>IF(B422="","",COUNT(I422:J422))</f>
        <v/>
      </c>
      <c r="L422" s="24" t="n"/>
      <c r="M422" s="24" t="n"/>
      <c r="N422" s="24" t="n"/>
      <c r="O422" s="24" t="n"/>
    </row>
    <row r="423">
      <c r="A423" s="24" t="inlineStr">
        <is>
          <t>M-422</t>
        </is>
      </c>
      <c r="B423" s="24" t="n"/>
      <c r="C423" s="24">
        <f>IF(B423="","",IFERROR(INDEX(Mentees!$D$2:$D$301,MATCH(B423,Mentees!$A$2:$A$301,0)),"ID not found"))</f>
        <v/>
      </c>
      <c r="D423" s="24" t="n"/>
      <c r="E423" s="24">
        <f>IF(D423="","",IFERROR(INDEX(Mentors!$D$2:$D$151,MATCH(D423,Mentors!$A$2:$A$151,0)),"ID not found"))</f>
        <v/>
      </c>
      <c r="F423" s="24">
        <f>IF(D423="","",IFERROR(INDEX(Mentors!$F$2:$F$151,MATCH(D423,Mentors!$A$2:$A$151,0))&amp;"",""))</f>
        <v/>
      </c>
      <c r="G423" s="24">
        <f>IF(D423="","",IFERROR(INDEX(Mentors!$P$2:$P$151,MATCH(D423,Mentors!$A$2:$A$151,0))&amp;"",""))</f>
        <v/>
      </c>
      <c r="H423" s="32" t="n"/>
      <c r="I423" s="32" t="n"/>
      <c r="J423" s="32" t="n"/>
      <c r="K423" s="24">
        <f>IF(B423="","",COUNT(I423:J423))</f>
        <v/>
      </c>
      <c r="L423" s="24" t="n"/>
      <c r="M423" s="24" t="n"/>
      <c r="N423" s="24" t="n"/>
      <c r="O423" s="24" t="n"/>
    </row>
    <row r="424">
      <c r="A424" s="24" t="inlineStr">
        <is>
          <t>M-423</t>
        </is>
      </c>
      <c r="B424" s="24" t="n"/>
      <c r="C424" s="24">
        <f>IF(B424="","",IFERROR(INDEX(Mentees!$D$2:$D$301,MATCH(B424,Mentees!$A$2:$A$301,0)),"ID not found"))</f>
        <v/>
      </c>
      <c r="D424" s="24" t="n"/>
      <c r="E424" s="24">
        <f>IF(D424="","",IFERROR(INDEX(Mentors!$D$2:$D$151,MATCH(D424,Mentors!$A$2:$A$151,0)),"ID not found"))</f>
        <v/>
      </c>
      <c r="F424" s="24">
        <f>IF(D424="","",IFERROR(INDEX(Mentors!$F$2:$F$151,MATCH(D424,Mentors!$A$2:$A$151,0))&amp;"",""))</f>
        <v/>
      </c>
      <c r="G424" s="24">
        <f>IF(D424="","",IFERROR(INDEX(Mentors!$P$2:$P$151,MATCH(D424,Mentors!$A$2:$A$151,0))&amp;"",""))</f>
        <v/>
      </c>
      <c r="H424" s="32" t="n"/>
      <c r="I424" s="32" t="n"/>
      <c r="J424" s="32" t="n"/>
      <c r="K424" s="24">
        <f>IF(B424="","",COUNT(I424:J424))</f>
        <v/>
      </c>
      <c r="L424" s="24" t="n"/>
      <c r="M424" s="24" t="n"/>
      <c r="N424" s="24" t="n"/>
      <c r="O424" s="24" t="n"/>
    </row>
    <row r="425">
      <c r="A425" s="24" t="inlineStr">
        <is>
          <t>M-424</t>
        </is>
      </c>
      <c r="B425" s="24" t="n"/>
      <c r="C425" s="24">
        <f>IF(B425="","",IFERROR(INDEX(Mentees!$D$2:$D$301,MATCH(B425,Mentees!$A$2:$A$301,0)),"ID not found"))</f>
        <v/>
      </c>
      <c r="D425" s="24" t="n"/>
      <c r="E425" s="24">
        <f>IF(D425="","",IFERROR(INDEX(Mentors!$D$2:$D$151,MATCH(D425,Mentors!$A$2:$A$151,0)),"ID not found"))</f>
        <v/>
      </c>
      <c r="F425" s="24">
        <f>IF(D425="","",IFERROR(INDEX(Mentors!$F$2:$F$151,MATCH(D425,Mentors!$A$2:$A$151,0))&amp;"",""))</f>
        <v/>
      </c>
      <c r="G425" s="24">
        <f>IF(D425="","",IFERROR(INDEX(Mentors!$P$2:$P$151,MATCH(D425,Mentors!$A$2:$A$151,0))&amp;"",""))</f>
        <v/>
      </c>
      <c r="H425" s="32" t="n"/>
      <c r="I425" s="32" t="n"/>
      <c r="J425" s="32" t="n"/>
      <c r="K425" s="24">
        <f>IF(B425="","",COUNT(I425:J425))</f>
        <v/>
      </c>
      <c r="L425" s="24" t="n"/>
      <c r="M425" s="24" t="n"/>
      <c r="N425" s="24" t="n"/>
      <c r="O425" s="24" t="n"/>
    </row>
    <row r="426">
      <c r="A426" s="24" t="inlineStr">
        <is>
          <t>M-425</t>
        </is>
      </c>
      <c r="B426" s="24" t="n"/>
      <c r="C426" s="24">
        <f>IF(B426="","",IFERROR(INDEX(Mentees!$D$2:$D$301,MATCH(B426,Mentees!$A$2:$A$301,0)),"ID not found"))</f>
        <v/>
      </c>
      <c r="D426" s="24" t="n"/>
      <c r="E426" s="24">
        <f>IF(D426="","",IFERROR(INDEX(Mentors!$D$2:$D$151,MATCH(D426,Mentors!$A$2:$A$151,0)),"ID not found"))</f>
        <v/>
      </c>
      <c r="F426" s="24">
        <f>IF(D426="","",IFERROR(INDEX(Mentors!$F$2:$F$151,MATCH(D426,Mentors!$A$2:$A$151,0))&amp;"",""))</f>
        <v/>
      </c>
      <c r="G426" s="24">
        <f>IF(D426="","",IFERROR(INDEX(Mentors!$P$2:$P$151,MATCH(D426,Mentors!$A$2:$A$151,0))&amp;"",""))</f>
        <v/>
      </c>
      <c r="H426" s="32" t="n"/>
      <c r="I426" s="32" t="n"/>
      <c r="J426" s="32" t="n"/>
      <c r="K426" s="24">
        <f>IF(B426="","",COUNT(I426:J426))</f>
        <v/>
      </c>
      <c r="L426" s="24" t="n"/>
      <c r="M426" s="24" t="n"/>
      <c r="N426" s="24" t="n"/>
      <c r="O426" s="24" t="n"/>
    </row>
    <row r="427">
      <c r="A427" s="24" t="inlineStr">
        <is>
          <t>M-426</t>
        </is>
      </c>
      <c r="B427" s="24" t="n"/>
      <c r="C427" s="24">
        <f>IF(B427="","",IFERROR(INDEX(Mentees!$D$2:$D$301,MATCH(B427,Mentees!$A$2:$A$301,0)),"ID not found"))</f>
        <v/>
      </c>
      <c r="D427" s="24" t="n"/>
      <c r="E427" s="24">
        <f>IF(D427="","",IFERROR(INDEX(Mentors!$D$2:$D$151,MATCH(D427,Mentors!$A$2:$A$151,0)),"ID not found"))</f>
        <v/>
      </c>
      <c r="F427" s="24">
        <f>IF(D427="","",IFERROR(INDEX(Mentors!$F$2:$F$151,MATCH(D427,Mentors!$A$2:$A$151,0))&amp;"",""))</f>
        <v/>
      </c>
      <c r="G427" s="24">
        <f>IF(D427="","",IFERROR(INDEX(Mentors!$P$2:$P$151,MATCH(D427,Mentors!$A$2:$A$151,0))&amp;"",""))</f>
        <v/>
      </c>
      <c r="H427" s="32" t="n"/>
      <c r="I427" s="32" t="n"/>
      <c r="J427" s="32" t="n"/>
      <c r="K427" s="24">
        <f>IF(B427="","",COUNT(I427:J427))</f>
        <v/>
      </c>
      <c r="L427" s="24" t="n"/>
      <c r="M427" s="24" t="n"/>
      <c r="N427" s="24" t="n"/>
      <c r="O427" s="24" t="n"/>
    </row>
    <row r="428">
      <c r="A428" s="24" t="inlineStr">
        <is>
          <t>M-427</t>
        </is>
      </c>
      <c r="B428" s="24" t="n"/>
      <c r="C428" s="24">
        <f>IF(B428="","",IFERROR(INDEX(Mentees!$D$2:$D$301,MATCH(B428,Mentees!$A$2:$A$301,0)),"ID not found"))</f>
        <v/>
      </c>
      <c r="D428" s="24" t="n"/>
      <c r="E428" s="24">
        <f>IF(D428="","",IFERROR(INDEX(Mentors!$D$2:$D$151,MATCH(D428,Mentors!$A$2:$A$151,0)),"ID not found"))</f>
        <v/>
      </c>
      <c r="F428" s="24">
        <f>IF(D428="","",IFERROR(INDEX(Mentors!$F$2:$F$151,MATCH(D428,Mentors!$A$2:$A$151,0))&amp;"",""))</f>
        <v/>
      </c>
      <c r="G428" s="24">
        <f>IF(D428="","",IFERROR(INDEX(Mentors!$P$2:$P$151,MATCH(D428,Mentors!$A$2:$A$151,0))&amp;"",""))</f>
        <v/>
      </c>
      <c r="H428" s="32" t="n"/>
      <c r="I428" s="32" t="n"/>
      <c r="J428" s="32" t="n"/>
      <c r="K428" s="24">
        <f>IF(B428="","",COUNT(I428:J428))</f>
        <v/>
      </c>
      <c r="L428" s="24" t="n"/>
      <c r="M428" s="24" t="n"/>
      <c r="N428" s="24" t="n"/>
      <c r="O428" s="24" t="n"/>
    </row>
    <row r="429">
      <c r="A429" s="24" t="inlineStr">
        <is>
          <t>M-428</t>
        </is>
      </c>
      <c r="B429" s="24" t="n"/>
      <c r="C429" s="24">
        <f>IF(B429="","",IFERROR(INDEX(Mentees!$D$2:$D$301,MATCH(B429,Mentees!$A$2:$A$301,0)),"ID not found"))</f>
        <v/>
      </c>
      <c r="D429" s="24" t="n"/>
      <c r="E429" s="24">
        <f>IF(D429="","",IFERROR(INDEX(Mentors!$D$2:$D$151,MATCH(D429,Mentors!$A$2:$A$151,0)),"ID not found"))</f>
        <v/>
      </c>
      <c r="F429" s="24">
        <f>IF(D429="","",IFERROR(INDEX(Mentors!$F$2:$F$151,MATCH(D429,Mentors!$A$2:$A$151,0))&amp;"",""))</f>
        <v/>
      </c>
      <c r="G429" s="24">
        <f>IF(D429="","",IFERROR(INDEX(Mentors!$P$2:$P$151,MATCH(D429,Mentors!$A$2:$A$151,0))&amp;"",""))</f>
        <v/>
      </c>
      <c r="H429" s="32" t="n"/>
      <c r="I429" s="32" t="n"/>
      <c r="J429" s="32" t="n"/>
      <c r="K429" s="24">
        <f>IF(B429="","",COUNT(I429:J429))</f>
        <v/>
      </c>
      <c r="L429" s="24" t="n"/>
      <c r="M429" s="24" t="n"/>
      <c r="N429" s="24" t="n"/>
      <c r="O429" s="24" t="n"/>
    </row>
    <row r="430">
      <c r="A430" s="24" t="inlineStr">
        <is>
          <t>M-429</t>
        </is>
      </c>
      <c r="B430" s="24" t="n"/>
      <c r="C430" s="24">
        <f>IF(B430="","",IFERROR(INDEX(Mentees!$D$2:$D$301,MATCH(B430,Mentees!$A$2:$A$301,0)),"ID not found"))</f>
        <v/>
      </c>
      <c r="D430" s="24" t="n"/>
      <c r="E430" s="24">
        <f>IF(D430="","",IFERROR(INDEX(Mentors!$D$2:$D$151,MATCH(D430,Mentors!$A$2:$A$151,0)),"ID not found"))</f>
        <v/>
      </c>
      <c r="F430" s="24">
        <f>IF(D430="","",IFERROR(INDEX(Mentors!$F$2:$F$151,MATCH(D430,Mentors!$A$2:$A$151,0))&amp;"",""))</f>
        <v/>
      </c>
      <c r="G430" s="24">
        <f>IF(D430="","",IFERROR(INDEX(Mentors!$P$2:$P$151,MATCH(D430,Mentors!$A$2:$A$151,0))&amp;"",""))</f>
        <v/>
      </c>
      <c r="H430" s="32" t="n"/>
      <c r="I430" s="32" t="n"/>
      <c r="J430" s="32" t="n"/>
      <c r="K430" s="24">
        <f>IF(B430="","",COUNT(I430:J430))</f>
        <v/>
      </c>
      <c r="L430" s="24" t="n"/>
      <c r="M430" s="24" t="n"/>
      <c r="N430" s="24" t="n"/>
      <c r="O430" s="24" t="n"/>
    </row>
    <row r="431">
      <c r="A431" s="24" t="inlineStr">
        <is>
          <t>M-430</t>
        </is>
      </c>
      <c r="B431" s="24" t="n"/>
      <c r="C431" s="24">
        <f>IF(B431="","",IFERROR(INDEX(Mentees!$D$2:$D$301,MATCH(B431,Mentees!$A$2:$A$301,0)),"ID not found"))</f>
        <v/>
      </c>
      <c r="D431" s="24" t="n"/>
      <c r="E431" s="24">
        <f>IF(D431="","",IFERROR(INDEX(Mentors!$D$2:$D$151,MATCH(D431,Mentors!$A$2:$A$151,0)),"ID not found"))</f>
        <v/>
      </c>
      <c r="F431" s="24">
        <f>IF(D431="","",IFERROR(INDEX(Mentors!$F$2:$F$151,MATCH(D431,Mentors!$A$2:$A$151,0))&amp;"",""))</f>
        <v/>
      </c>
      <c r="G431" s="24">
        <f>IF(D431="","",IFERROR(INDEX(Mentors!$P$2:$P$151,MATCH(D431,Mentors!$A$2:$A$151,0))&amp;"",""))</f>
        <v/>
      </c>
      <c r="H431" s="32" t="n"/>
      <c r="I431" s="32" t="n"/>
      <c r="J431" s="32" t="n"/>
      <c r="K431" s="24">
        <f>IF(B431="","",COUNT(I431:J431))</f>
        <v/>
      </c>
      <c r="L431" s="24" t="n"/>
      <c r="M431" s="24" t="n"/>
      <c r="N431" s="24" t="n"/>
      <c r="O431" s="24" t="n"/>
    </row>
    <row r="432">
      <c r="A432" s="24" t="inlineStr">
        <is>
          <t>M-431</t>
        </is>
      </c>
      <c r="B432" s="24" t="n"/>
      <c r="C432" s="24">
        <f>IF(B432="","",IFERROR(INDEX(Mentees!$D$2:$D$301,MATCH(B432,Mentees!$A$2:$A$301,0)),"ID not found"))</f>
        <v/>
      </c>
      <c r="D432" s="24" t="n"/>
      <c r="E432" s="24">
        <f>IF(D432="","",IFERROR(INDEX(Mentors!$D$2:$D$151,MATCH(D432,Mentors!$A$2:$A$151,0)),"ID not found"))</f>
        <v/>
      </c>
      <c r="F432" s="24">
        <f>IF(D432="","",IFERROR(INDEX(Mentors!$F$2:$F$151,MATCH(D432,Mentors!$A$2:$A$151,0))&amp;"",""))</f>
        <v/>
      </c>
      <c r="G432" s="24">
        <f>IF(D432="","",IFERROR(INDEX(Mentors!$P$2:$P$151,MATCH(D432,Mentors!$A$2:$A$151,0))&amp;"",""))</f>
        <v/>
      </c>
      <c r="H432" s="32" t="n"/>
      <c r="I432" s="32" t="n"/>
      <c r="J432" s="32" t="n"/>
      <c r="K432" s="24">
        <f>IF(B432="","",COUNT(I432:J432))</f>
        <v/>
      </c>
      <c r="L432" s="24" t="n"/>
      <c r="M432" s="24" t="n"/>
      <c r="N432" s="24" t="n"/>
      <c r="O432" s="24" t="n"/>
    </row>
    <row r="433">
      <c r="A433" s="24" t="inlineStr">
        <is>
          <t>M-432</t>
        </is>
      </c>
      <c r="B433" s="24" t="n"/>
      <c r="C433" s="24">
        <f>IF(B433="","",IFERROR(INDEX(Mentees!$D$2:$D$301,MATCH(B433,Mentees!$A$2:$A$301,0)),"ID not found"))</f>
        <v/>
      </c>
      <c r="D433" s="24" t="n"/>
      <c r="E433" s="24">
        <f>IF(D433="","",IFERROR(INDEX(Mentors!$D$2:$D$151,MATCH(D433,Mentors!$A$2:$A$151,0)),"ID not found"))</f>
        <v/>
      </c>
      <c r="F433" s="24">
        <f>IF(D433="","",IFERROR(INDEX(Mentors!$F$2:$F$151,MATCH(D433,Mentors!$A$2:$A$151,0))&amp;"",""))</f>
        <v/>
      </c>
      <c r="G433" s="24">
        <f>IF(D433="","",IFERROR(INDEX(Mentors!$P$2:$P$151,MATCH(D433,Mentors!$A$2:$A$151,0))&amp;"",""))</f>
        <v/>
      </c>
      <c r="H433" s="32" t="n"/>
      <c r="I433" s="32" t="n"/>
      <c r="J433" s="32" t="n"/>
      <c r="K433" s="24">
        <f>IF(B433="","",COUNT(I433:J433))</f>
        <v/>
      </c>
      <c r="L433" s="24" t="n"/>
      <c r="M433" s="24" t="n"/>
      <c r="N433" s="24" t="n"/>
      <c r="O433" s="24" t="n"/>
    </row>
    <row r="434">
      <c r="A434" s="24" t="inlineStr">
        <is>
          <t>M-433</t>
        </is>
      </c>
      <c r="B434" s="24" t="n"/>
      <c r="C434" s="24">
        <f>IF(B434="","",IFERROR(INDEX(Mentees!$D$2:$D$301,MATCH(B434,Mentees!$A$2:$A$301,0)),"ID not found"))</f>
        <v/>
      </c>
      <c r="D434" s="24" t="n"/>
      <c r="E434" s="24">
        <f>IF(D434="","",IFERROR(INDEX(Mentors!$D$2:$D$151,MATCH(D434,Mentors!$A$2:$A$151,0)),"ID not found"))</f>
        <v/>
      </c>
      <c r="F434" s="24">
        <f>IF(D434="","",IFERROR(INDEX(Mentors!$F$2:$F$151,MATCH(D434,Mentors!$A$2:$A$151,0))&amp;"",""))</f>
        <v/>
      </c>
      <c r="G434" s="24">
        <f>IF(D434="","",IFERROR(INDEX(Mentors!$P$2:$P$151,MATCH(D434,Mentors!$A$2:$A$151,0))&amp;"",""))</f>
        <v/>
      </c>
      <c r="H434" s="32" t="n"/>
      <c r="I434" s="32" t="n"/>
      <c r="J434" s="32" t="n"/>
      <c r="K434" s="24">
        <f>IF(B434="","",COUNT(I434:J434))</f>
        <v/>
      </c>
      <c r="L434" s="24" t="n"/>
      <c r="M434" s="24" t="n"/>
      <c r="N434" s="24" t="n"/>
      <c r="O434" s="24" t="n"/>
    </row>
    <row r="435">
      <c r="A435" s="24" t="inlineStr">
        <is>
          <t>M-434</t>
        </is>
      </c>
      <c r="B435" s="24" t="n"/>
      <c r="C435" s="24">
        <f>IF(B435="","",IFERROR(INDEX(Mentees!$D$2:$D$301,MATCH(B435,Mentees!$A$2:$A$301,0)),"ID not found"))</f>
        <v/>
      </c>
      <c r="D435" s="24" t="n"/>
      <c r="E435" s="24">
        <f>IF(D435="","",IFERROR(INDEX(Mentors!$D$2:$D$151,MATCH(D435,Mentors!$A$2:$A$151,0)),"ID not found"))</f>
        <v/>
      </c>
      <c r="F435" s="24">
        <f>IF(D435="","",IFERROR(INDEX(Mentors!$F$2:$F$151,MATCH(D435,Mentors!$A$2:$A$151,0))&amp;"",""))</f>
        <v/>
      </c>
      <c r="G435" s="24">
        <f>IF(D435="","",IFERROR(INDEX(Mentors!$P$2:$P$151,MATCH(D435,Mentors!$A$2:$A$151,0))&amp;"",""))</f>
        <v/>
      </c>
      <c r="H435" s="32" t="n"/>
      <c r="I435" s="32" t="n"/>
      <c r="J435" s="32" t="n"/>
      <c r="K435" s="24">
        <f>IF(B435="","",COUNT(I435:J435))</f>
        <v/>
      </c>
      <c r="L435" s="24" t="n"/>
      <c r="M435" s="24" t="n"/>
      <c r="N435" s="24" t="n"/>
      <c r="O435" s="24" t="n"/>
    </row>
    <row r="436">
      <c r="A436" s="24" t="inlineStr">
        <is>
          <t>M-435</t>
        </is>
      </c>
      <c r="B436" s="24" t="n"/>
      <c r="C436" s="24">
        <f>IF(B436="","",IFERROR(INDEX(Mentees!$D$2:$D$301,MATCH(B436,Mentees!$A$2:$A$301,0)),"ID not found"))</f>
        <v/>
      </c>
      <c r="D436" s="24" t="n"/>
      <c r="E436" s="24">
        <f>IF(D436="","",IFERROR(INDEX(Mentors!$D$2:$D$151,MATCH(D436,Mentors!$A$2:$A$151,0)),"ID not found"))</f>
        <v/>
      </c>
      <c r="F436" s="24">
        <f>IF(D436="","",IFERROR(INDEX(Mentors!$F$2:$F$151,MATCH(D436,Mentors!$A$2:$A$151,0))&amp;"",""))</f>
        <v/>
      </c>
      <c r="G436" s="24">
        <f>IF(D436="","",IFERROR(INDEX(Mentors!$P$2:$P$151,MATCH(D436,Mentors!$A$2:$A$151,0))&amp;"",""))</f>
        <v/>
      </c>
      <c r="H436" s="32" t="n"/>
      <c r="I436" s="32" t="n"/>
      <c r="J436" s="32" t="n"/>
      <c r="K436" s="24">
        <f>IF(B436="","",COUNT(I436:J436))</f>
        <v/>
      </c>
      <c r="L436" s="24" t="n"/>
      <c r="M436" s="24" t="n"/>
      <c r="N436" s="24" t="n"/>
      <c r="O436" s="24" t="n"/>
    </row>
    <row r="437">
      <c r="A437" s="24" t="inlineStr">
        <is>
          <t>M-436</t>
        </is>
      </c>
      <c r="B437" s="24" t="n"/>
      <c r="C437" s="24">
        <f>IF(B437="","",IFERROR(INDEX(Mentees!$D$2:$D$301,MATCH(B437,Mentees!$A$2:$A$301,0)),"ID not found"))</f>
        <v/>
      </c>
      <c r="D437" s="24" t="n"/>
      <c r="E437" s="24">
        <f>IF(D437="","",IFERROR(INDEX(Mentors!$D$2:$D$151,MATCH(D437,Mentors!$A$2:$A$151,0)),"ID not found"))</f>
        <v/>
      </c>
      <c r="F437" s="24">
        <f>IF(D437="","",IFERROR(INDEX(Mentors!$F$2:$F$151,MATCH(D437,Mentors!$A$2:$A$151,0))&amp;"",""))</f>
        <v/>
      </c>
      <c r="G437" s="24">
        <f>IF(D437="","",IFERROR(INDEX(Mentors!$P$2:$P$151,MATCH(D437,Mentors!$A$2:$A$151,0))&amp;"",""))</f>
        <v/>
      </c>
      <c r="H437" s="32" t="n"/>
      <c r="I437" s="32" t="n"/>
      <c r="J437" s="32" t="n"/>
      <c r="K437" s="24">
        <f>IF(B437="","",COUNT(I437:J437))</f>
        <v/>
      </c>
      <c r="L437" s="24" t="n"/>
      <c r="M437" s="24" t="n"/>
      <c r="N437" s="24" t="n"/>
      <c r="O437" s="24" t="n"/>
    </row>
    <row r="438">
      <c r="A438" s="24" t="inlineStr">
        <is>
          <t>M-437</t>
        </is>
      </c>
      <c r="B438" s="24" t="n"/>
      <c r="C438" s="24">
        <f>IF(B438="","",IFERROR(INDEX(Mentees!$D$2:$D$301,MATCH(B438,Mentees!$A$2:$A$301,0)),"ID not found"))</f>
        <v/>
      </c>
      <c r="D438" s="24" t="n"/>
      <c r="E438" s="24">
        <f>IF(D438="","",IFERROR(INDEX(Mentors!$D$2:$D$151,MATCH(D438,Mentors!$A$2:$A$151,0)),"ID not found"))</f>
        <v/>
      </c>
      <c r="F438" s="24">
        <f>IF(D438="","",IFERROR(INDEX(Mentors!$F$2:$F$151,MATCH(D438,Mentors!$A$2:$A$151,0))&amp;"",""))</f>
        <v/>
      </c>
      <c r="G438" s="24">
        <f>IF(D438="","",IFERROR(INDEX(Mentors!$P$2:$P$151,MATCH(D438,Mentors!$A$2:$A$151,0))&amp;"",""))</f>
        <v/>
      </c>
      <c r="H438" s="32" t="n"/>
      <c r="I438" s="32" t="n"/>
      <c r="J438" s="32" t="n"/>
      <c r="K438" s="24">
        <f>IF(B438="","",COUNT(I438:J438))</f>
        <v/>
      </c>
      <c r="L438" s="24" t="n"/>
      <c r="M438" s="24" t="n"/>
      <c r="N438" s="24" t="n"/>
      <c r="O438" s="24" t="n"/>
    </row>
    <row r="439">
      <c r="A439" s="24" t="inlineStr">
        <is>
          <t>M-438</t>
        </is>
      </c>
      <c r="B439" s="24" t="n"/>
      <c r="C439" s="24">
        <f>IF(B439="","",IFERROR(INDEX(Mentees!$D$2:$D$301,MATCH(B439,Mentees!$A$2:$A$301,0)),"ID not found"))</f>
        <v/>
      </c>
      <c r="D439" s="24" t="n"/>
      <c r="E439" s="24">
        <f>IF(D439="","",IFERROR(INDEX(Mentors!$D$2:$D$151,MATCH(D439,Mentors!$A$2:$A$151,0)),"ID not found"))</f>
        <v/>
      </c>
      <c r="F439" s="24">
        <f>IF(D439="","",IFERROR(INDEX(Mentors!$F$2:$F$151,MATCH(D439,Mentors!$A$2:$A$151,0))&amp;"",""))</f>
        <v/>
      </c>
      <c r="G439" s="24">
        <f>IF(D439="","",IFERROR(INDEX(Mentors!$P$2:$P$151,MATCH(D439,Mentors!$A$2:$A$151,0))&amp;"",""))</f>
        <v/>
      </c>
      <c r="H439" s="32" t="n"/>
      <c r="I439" s="32" t="n"/>
      <c r="J439" s="32" t="n"/>
      <c r="K439" s="24">
        <f>IF(B439="","",COUNT(I439:J439))</f>
        <v/>
      </c>
      <c r="L439" s="24" t="n"/>
      <c r="M439" s="24" t="n"/>
      <c r="N439" s="24" t="n"/>
      <c r="O439" s="24" t="n"/>
    </row>
    <row r="440">
      <c r="A440" s="24" t="inlineStr">
        <is>
          <t>M-439</t>
        </is>
      </c>
      <c r="B440" s="24" t="n"/>
      <c r="C440" s="24">
        <f>IF(B440="","",IFERROR(INDEX(Mentees!$D$2:$D$301,MATCH(B440,Mentees!$A$2:$A$301,0)),"ID not found"))</f>
        <v/>
      </c>
      <c r="D440" s="24" t="n"/>
      <c r="E440" s="24">
        <f>IF(D440="","",IFERROR(INDEX(Mentors!$D$2:$D$151,MATCH(D440,Mentors!$A$2:$A$151,0)),"ID not found"))</f>
        <v/>
      </c>
      <c r="F440" s="24">
        <f>IF(D440="","",IFERROR(INDEX(Mentors!$F$2:$F$151,MATCH(D440,Mentors!$A$2:$A$151,0))&amp;"",""))</f>
        <v/>
      </c>
      <c r="G440" s="24">
        <f>IF(D440="","",IFERROR(INDEX(Mentors!$P$2:$P$151,MATCH(D440,Mentors!$A$2:$A$151,0))&amp;"",""))</f>
        <v/>
      </c>
      <c r="H440" s="32" t="n"/>
      <c r="I440" s="32" t="n"/>
      <c r="J440" s="32" t="n"/>
      <c r="K440" s="24">
        <f>IF(B440="","",COUNT(I440:J440))</f>
        <v/>
      </c>
      <c r="L440" s="24" t="n"/>
      <c r="M440" s="24" t="n"/>
      <c r="N440" s="24" t="n"/>
      <c r="O440" s="24" t="n"/>
    </row>
    <row r="441">
      <c r="A441" s="24" t="inlineStr">
        <is>
          <t>M-440</t>
        </is>
      </c>
      <c r="B441" s="24" t="n"/>
      <c r="C441" s="24">
        <f>IF(B441="","",IFERROR(INDEX(Mentees!$D$2:$D$301,MATCH(B441,Mentees!$A$2:$A$301,0)),"ID not found"))</f>
        <v/>
      </c>
      <c r="D441" s="24" t="n"/>
      <c r="E441" s="24">
        <f>IF(D441="","",IFERROR(INDEX(Mentors!$D$2:$D$151,MATCH(D441,Mentors!$A$2:$A$151,0)),"ID not found"))</f>
        <v/>
      </c>
      <c r="F441" s="24">
        <f>IF(D441="","",IFERROR(INDEX(Mentors!$F$2:$F$151,MATCH(D441,Mentors!$A$2:$A$151,0))&amp;"",""))</f>
        <v/>
      </c>
      <c r="G441" s="24">
        <f>IF(D441="","",IFERROR(INDEX(Mentors!$P$2:$P$151,MATCH(D441,Mentors!$A$2:$A$151,0))&amp;"",""))</f>
        <v/>
      </c>
      <c r="H441" s="32" t="n"/>
      <c r="I441" s="32" t="n"/>
      <c r="J441" s="32" t="n"/>
      <c r="K441" s="24">
        <f>IF(B441="","",COUNT(I441:J441))</f>
        <v/>
      </c>
      <c r="L441" s="24" t="n"/>
      <c r="M441" s="24" t="n"/>
      <c r="N441" s="24" t="n"/>
      <c r="O441" s="24" t="n"/>
    </row>
    <row r="442">
      <c r="A442" s="24" t="inlineStr">
        <is>
          <t>M-441</t>
        </is>
      </c>
      <c r="B442" s="24" t="n"/>
      <c r="C442" s="24">
        <f>IF(B442="","",IFERROR(INDEX(Mentees!$D$2:$D$301,MATCH(B442,Mentees!$A$2:$A$301,0)),"ID not found"))</f>
        <v/>
      </c>
      <c r="D442" s="24" t="n"/>
      <c r="E442" s="24">
        <f>IF(D442="","",IFERROR(INDEX(Mentors!$D$2:$D$151,MATCH(D442,Mentors!$A$2:$A$151,0)),"ID not found"))</f>
        <v/>
      </c>
      <c r="F442" s="24">
        <f>IF(D442="","",IFERROR(INDEX(Mentors!$F$2:$F$151,MATCH(D442,Mentors!$A$2:$A$151,0))&amp;"",""))</f>
        <v/>
      </c>
      <c r="G442" s="24">
        <f>IF(D442="","",IFERROR(INDEX(Mentors!$P$2:$P$151,MATCH(D442,Mentors!$A$2:$A$151,0))&amp;"",""))</f>
        <v/>
      </c>
      <c r="H442" s="32" t="n"/>
      <c r="I442" s="32" t="n"/>
      <c r="J442" s="32" t="n"/>
      <c r="K442" s="24">
        <f>IF(B442="","",COUNT(I442:J442))</f>
        <v/>
      </c>
      <c r="L442" s="24" t="n"/>
      <c r="M442" s="24" t="n"/>
      <c r="N442" s="24" t="n"/>
      <c r="O442" s="24" t="n"/>
    </row>
    <row r="443">
      <c r="A443" s="24" t="inlineStr">
        <is>
          <t>M-442</t>
        </is>
      </c>
      <c r="B443" s="24" t="n"/>
      <c r="C443" s="24">
        <f>IF(B443="","",IFERROR(INDEX(Mentees!$D$2:$D$301,MATCH(B443,Mentees!$A$2:$A$301,0)),"ID not found"))</f>
        <v/>
      </c>
      <c r="D443" s="24" t="n"/>
      <c r="E443" s="24">
        <f>IF(D443="","",IFERROR(INDEX(Mentors!$D$2:$D$151,MATCH(D443,Mentors!$A$2:$A$151,0)),"ID not found"))</f>
        <v/>
      </c>
      <c r="F443" s="24">
        <f>IF(D443="","",IFERROR(INDEX(Mentors!$F$2:$F$151,MATCH(D443,Mentors!$A$2:$A$151,0))&amp;"",""))</f>
        <v/>
      </c>
      <c r="G443" s="24">
        <f>IF(D443="","",IFERROR(INDEX(Mentors!$P$2:$P$151,MATCH(D443,Mentors!$A$2:$A$151,0))&amp;"",""))</f>
        <v/>
      </c>
      <c r="H443" s="32" t="n"/>
      <c r="I443" s="32" t="n"/>
      <c r="J443" s="32" t="n"/>
      <c r="K443" s="24">
        <f>IF(B443="","",COUNT(I443:J443))</f>
        <v/>
      </c>
      <c r="L443" s="24" t="n"/>
      <c r="M443" s="24" t="n"/>
      <c r="N443" s="24" t="n"/>
      <c r="O443" s="24" t="n"/>
    </row>
    <row r="444">
      <c r="A444" s="24" t="inlineStr">
        <is>
          <t>M-443</t>
        </is>
      </c>
      <c r="B444" s="24" t="n"/>
      <c r="C444" s="24">
        <f>IF(B444="","",IFERROR(INDEX(Mentees!$D$2:$D$301,MATCH(B444,Mentees!$A$2:$A$301,0)),"ID not found"))</f>
        <v/>
      </c>
      <c r="D444" s="24" t="n"/>
      <c r="E444" s="24">
        <f>IF(D444="","",IFERROR(INDEX(Mentors!$D$2:$D$151,MATCH(D444,Mentors!$A$2:$A$151,0)),"ID not found"))</f>
        <v/>
      </c>
      <c r="F444" s="24">
        <f>IF(D444="","",IFERROR(INDEX(Mentors!$F$2:$F$151,MATCH(D444,Mentors!$A$2:$A$151,0))&amp;"",""))</f>
        <v/>
      </c>
      <c r="G444" s="24">
        <f>IF(D444="","",IFERROR(INDEX(Mentors!$P$2:$P$151,MATCH(D444,Mentors!$A$2:$A$151,0))&amp;"",""))</f>
        <v/>
      </c>
      <c r="H444" s="32" t="n"/>
      <c r="I444" s="32" t="n"/>
      <c r="J444" s="32" t="n"/>
      <c r="K444" s="24">
        <f>IF(B444="","",COUNT(I444:J444))</f>
        <v/>
      </c>
      <c r="L444" s="24" t="n"/>
      <c r="M444" s="24" t="n"/>
      <c r="N444" s="24" t="n"/>
      <c r="O444" s="24" t="n"/>
    </row>
    <row r="445">
      <c r="A445" s="24" t="inlineStr">
        <is>
          <t>M-444</t>
        </is>
      </c>
      <c r="B445" s="24" t="n"/>
      <c r="C445" s="24">
        <f>IF(B445="","",IFERROR(INDEX(Mentees!$D$2:$D$301,MATCH(B445,Mentees!$A$2:$A$301,0)),"ID not found"))</f>
        <v/>
      </c>
      <c r="D445" s="24" t="n"/>
      <c r="E445" s="24">
        <f>IF(D445="","",IFERROR(INDEX(Mentors!$D$2:$D$151,MATCH(D445,Mentors!$A$2:$A$151,0)),"ID not found"))</f>
        <v/>
      </c>
      <c r="F445" s="24">
        <f>IF(D445="","",IFERROR(INDEX(Mentors!$F$2:$F$151,MATCH(D445,Mentors!$A$2:$A$151,0))&amp;"",""))</f>
        <v/>
      </c>
      <c r="G445" s="24">
        <f>IF(D445="","",IFERROR(INDEX(Mentors!$P$2:$P$151,MATCH(D445,Mentors!$A$2:$A$151,0))&amp;"",""))</f>
        <v/>
      </c>
      <c r="H445" s="32" t="n"/>
      <c r="I445" s="32" t="n"/>
      <c r="J445" s="32" t="n"/>
      <c r="K445" s="24">
        <f>IF(B445="","",COUNT(I445:J445))</f>
        <v/>
      </c>
      <c r="L445" s="24" t="n"/>
      <c r="M445" s="24" t="n"/>
      <c r="N445" s="24" t="n"/>
      <c r="O445" s="24" t="n"/>
    </row>
    <row r="446">
      <c r="A446" s="24" t="inlineStr">
        <is>
          <t>M-445</t>
        </is>
      </c>
      <c r="B446" s="24" t="n"/>
      <c r="C446" s="24">
        <f>IF(B446="","",IFERROR(INDEX(Mentees!$D$2:$D$301,MATCH(B446,Mentees!$A$2:$A$301,0)),"ID not found"))</f>
        <v/>
      </c>
      <c r="D446" s="24" t="n"/>
      <c r="E446" s="24">
        <f>IF(D446="","",IFERROR(INDEX(Mentors!$D$2:$D$151,MATCH(D446,Mentors!$A$2:$A$151,0)),"ID not found"))</f>
        <v/>
      </c>
      <c r="F446" s="24">
        <f>IF(D446="","",IFERROR(INDEX(Mentors!$F$2:$F$151,MATCH(D446,Mentors!$A$2:$A$151,0))&amp;"",""))</f>
        <v/>
      </c>
      <c r="G446" s="24">
        <f>IF(D446="","",IFERROR(INDEX(Mentors!$P$2:$P$151,MATCH(D446,Mentors!$A$2:$A$151,0))&amp;"",""))</f>
        <v/>
      </c>
      <c r="H446" s="32" t="n"/>
      <c r="I446" s="32" t="n"/>
      <c r="J446" s="32" t="n"/>
      <c r="K446" s="24">
        <f>IF(B446="","",COUNT(I446:J446))</f>
        <v/>
      </c>
      <c r="L446" s="24" t="n"/>
      <c r="M446" s="24" t="n"/>
      <c r="N446" s="24" t="n"/>
      <c r="O446" s="24" t="n"/>
    </row>
    <row r="447">
      <c r="A447" s="24" t="inlineStr">
        <is>
          <t>M-446</t>
        </is>
      </c>
      <c r="B447" s="24" t="n"/>
      <c r="C447" s="24">
        <f>IF(B447="","",IFERROR(INDEX(Mentees!$D$2:$D$301,MATCH(B447,Mentees!$A$2:$A$301,0)),"ID not found"))</f>
        <v/>
      </c>
      <c r="D447" s="24" t="n"/>
      <c r="E447" s="24">
        <f>IF(D447="","",IFERROR(INDEX(Mentors!$D$2:$D$151,MATCH(D447,Mentors!$A$2:$A$151,0)),"ID not found"))</f>
        <v/>
      </c>
      <c r="F447" s="24">
        <f>IF(D447="","",IFERROR(INDEX(Mentors!$F$2:$F$151,MATCH(D447,Mentors!$A$2:$A$151,0))&amp;"",""))</f>
        <v/>
      </c>
      <c r="G447" s="24">
        <f>IF(D447="","",IFERROR(INDEX(Mentors!$P$2:$P$151,MATCH(D447,Mentors!$A$2:$A$151,0))&amp;"",""))</f>
        <v/>
      </c>
      <c r="H447" s="32" t="n"/>
      <c r="I447" s="32" t="n"/>
      <c r="J447" s="32" t="n"/>
      <c r="K447" s="24">
        <f>IF(B447="","",COUNT(I447:J447))</f>
        <v/>
      </c>
      <c r="L447" s="24" t="n"/>
      <c r="M447" s="24" t="n"/>
      <c r="N447" s="24" t="n"/>
      <c r="O447" s="24" t="n"/>
    </row>
    <row r="448">
      <c r="A448" s="24" t="inlineStr">
        <is>
          <t>M-447</t>
        </is>
      </c>
      <c r="B448" s="24" t="n"/>
      <c r="C448" s="24">
        <f>IF(B448="","",IFERROR(INDEX(Mentees!$D$2:$D$301,MATCH(B448,Mentees!$A$2:$A$301,0)),"ID not found"))</f>
        <v/>
      </c>
      <c r="D448" s="24" t="n"/>
      <c r="E448" s="24">
        <f>IF(D448="","",IFERROR(INDEX(Mentors!$D$2:$D$151,MATCH(D448,Mentors!$A$2:$A$151,0)),"ID not found"))</f>
        <v/>
      </c>
      <c r="F448" s="24">
        <f>IF(D448="","",IFERROR(INDEX(Mentors!$F$2:$F$151,MATCH(D448,Mentors!$A$2:$A$151,0))&amp;"",""))</f>
        <v/>
      </c>
      <c r="G448" s="24">
        <f>IF(D448="","",IFERROR(INDEX(Mentors!$P$2:$P$151,MATCH(D448,Mentors!$A$2:$A$151,0))&amp;"",""))</f>
        <v/>
      </c>
      <c r="H448" s="32" t="n"/>
      <c r="I448" s="32" t="n"/>
      <c r="J448" s="32" t="n"/>
      <c r="K448" s="24">
        <f>IF(B448="","",COUNT(I448:J448))</f>
        <v/>
      </c>
      <c r="L448" s="24" t="n"/>
      <c r="M448" s="24" t="n"/>
      <c r="N448" s="24" t="n"/>
      <c r="O448" s="24" t="n"/>
    </row>
    <row r="449">
      <c r="A449" s="24" t="inlineStr">
        <is>
          <t>M-448</t>
        </is>
      </c>
      <c r="B449" s="24" t="n"/>
      <c r="C449" s="24">
        <f>IF(B449="","",IFERROR(INDEX(Mentees!$D$2:$D$301,MATCH(B449,Mentees!$A$2:$A$301,0)),"ID not found"))</f>
        <v/>
      </c>
      <c r="D449" s="24" t="n"/>
      <c r="E449" s="24">
        <f>IF(D449="","",IFERROR(INDEX(Mentors!$D$2:$D$151,MATCH(D449,Mentors!$A$2:$A$151,0)),"ID not found"))</f>
        <v/>
      </c>
      <c r="F449" s="24">
        <f>IF(D449="","",IFERROR(INDEX(Mentors!$F$2:$F$151,MATCH(D449,Mentors!$A$2:$A$151,0))&amp;"",""))</f>
        <v/>
      </c>
      <c r="G449" s="24">
        <f>IF(D449="","",IFERROR(INDEX(Mentors!$P$2:$P$151,MATCH(D449,Mentors!$A$2:$A$151,0))&amp;"",""))</f>
        <v/>
      </c>
      <c r="H449" s="32" t="n"/>
      <c r="I449" s="32" t="n"/>
      <c r="J449" s="32" t="n"/>
      <c r="K449" s="24">
        <f>IF(B449="","",COUNT(I449:J449))</f>
        <v/>
      </c>
      <c r="L449" s="24" t="n"/>
      <c r="M449" s="24" t="n"/>
      <c r="N449" s="24" t="n"/>
      <c r="O449" s="24" t="n"/>
    </row>
    <row r="450">
      <c r="A450" s="24" t="inlineStr">
        <is>
          <t>M-449</t>
        </is>
      </c>
      <c r="B450" s="24" t="n"/>
      <c r="C450" s="24">
        <f>IF(B450="","",IFERROR(INDEX(Mentees!$D$2:$D$301,MATCH(B450,Mentees!$A$2:$A$301,0)),"ID not found"))</f>
        <v/>
      </c>
      <c r="D450" s="24" t="n"/>
      <c r="E450" s="24">
        <f>IF(D450="","",IFERROR(INDEX(Mentors!$D$2:$D$151,MATCH(D450,Mentors!$A$2:$A$151,0)),"ID not found"))</f>
        <v/>
      </c>
      <c r="F450" s="24">
        <f>IF(D450="","",IFERROR(INDEX(Mentors!$F$2:$F$151,MATCH(D450,Mentors!$A$2:$A$151,0))&amp;"",""))</f>
        <v/>
      </c>
      <c r="G450" s="24">
        <f>IF(D450="","",IFERROR(INDEX(Mentors!$P$2:$P$151,MATCH(D450,Mentors!$A$2:$A$151,0))&amp;"",""))</f>
        <v/>
      </c>
      <c r="H450" s="32" t="n"/>
      <c r="I450" s="32" t="n"/>
      <c r="J450" s="32" t="n"/>
      <c r="K450" s="24">
        <f>IF(B450="","",COUNT(I450:J450))</f>
        <v/>
      </c>
      <c r="L450" s="24" t="n"/>
      <c r="M450" s="24" t="n"/>
      <c r="N450" s="24" t="n"/>
      <c r="O450" s="24" t="n"/>
    </row>
    <row r="451">
      <c r="A451" s="24" t="inlineStr">
        <is>
          <t>M-450</t>
        </is>
      </c>
      <c r="B451" s="24" t="n"/>
      <c r="C451" s="24">
        <f>IF(B451="","",IFERROR(INDEX(Mentees!$D$2:$D$301,MATCH(B451,Mentees!$A$2:$A$301,0)),"ID not found"))</f>
        <v/>
      </c>
      <c r="D451" s="24" t="n"/>
      <c r="E451" s="24">
        <f>IF(D451="","",IFERROR(INDEX(Mentors!$D$2:$D$151,MATCH(D451,Mentors!$A$2:$A$151,0)),"ID not found"))</f>
        <v/>
      </c>
      <c r="F451" s="24">
        <f>IF(D451="","",IFERROR(INDEX(Mentors!$F$2:$F$151,MATCH(D451,Mentors!$A$2:$A$151,0))&amp;"",""))</f>
        <v/>
      </c>
      <c r="G451" s="24">
        <f>IF(D451="","",IFERROR(INDEX(Mentors!$P$2:$P$151,MATCH(D451,Mentors!$A$2:$A$151,0))&amp;"",""))</f>
        <v/>
      </c>
      <c r="H451" s="32" t="n"/>
      <c r="I451" s="32" t="n"/>
      <c r="J451" s="32" t="n"/>
      <c r="K451" s="24">
        <f>IF(B451="","",COUNT(I451:J451))</f>
        <v/>
      </c>
      <c r="L451" s="24" t="n"/>
      <c r="M451" s="24" t="n"/>
      <c r="N451" s="24" t="n"/>
      <c r="O451" s="24" t="n"/>
    </row>
    <row r="452">
      <c r="A452" s="24" t="inlineStr">
        <is>
          <t>M-451</t>
        </is>
      </c>
      <c r="B452" s="24" t="n"/>
      <c r="C452" s="24">
        <f>IF(B452="","",IFERROR(INDEX(Mentees!$D$2:$D$301,MATCH(B452,Mentees!$A$2:$A$301,0)),"ID not found"))</f>
        <v/>
      </c>
      <c r="D452" s="24" t="n"/>
      <c r="E452" s="24">
        <f>IF(D452="","",IFERROR(INDEX(Mentors!$D$2:$D$151,MATCH(D452,Mentors!$A$2:$A$151,0)),"ID not found"))</f>
        <v/>
      </c>
      <c r="F452" s="24">
        <f>IF(D452="","",IFERROR(INDEX(Mentors!$F$2:$F$151,MATCH(D452,Mentors!$A$2:$A$151,0))&amp;"",""))</f>
        <v/>
      </c>
      <c r="G452" s="24">
        <f>IF(D452="","",IFERROR(INDEX(Mentors!$P$2:$P$151,MATCH(D452,Mentors!$A$2:$A$151,0))&amp;"",""))</f>
        <v/>
      </c>
      <c r="H452" s="32" t="n"/>
      <c r="I452" s="32" t="n"/>
      <c r="J452" s="32" t="n"/>
      <c r="K452" s="24">
        <f>IF(B452="","",COUNT(I452:J452))</f>
        <v/>
      </c>
      <c r="L452" s="24" t="n"/>
      <c r="M452" s="24" t="n"/>
      <c r="N452" s="24" t="n"/>
      <c r="O452" s="24" t="n"/>
    </row>
    <row r="453">
      <c r="A453" s="24" t="inlineStr">
        <is>
          <t>M-452</t>
        </is>
      </c>
      <c r="B453" s="24" t="n"/>
      <c r="C453" s="24">
        <f>IF(B453="","",IFERROR(INDEX(Mentees!$D$2:$D$301,MATCH(B453,Mentees!$A$2:$A$301,0)),"ID not found"))</f>
        <v/>
      </c>
      <c r="D453" s="24" t="n"/>
      <c r="E453" s="24">
        <f>IF(D453="","",IFERROR(INDEX(Mentors!$D$2:$D$151,MATCH(D453,Mentors!$A$2:$A$151,0)),"ID not found"))</f>
        <v/>
      </c>
      <c r="F453" s="24">
        <f>IF(D453="","",IFERROR(INDEX(Mentors!$F$2:$F$151,MATCH(D453,Mentors!$A$2:$A$151,0))&amp;"",""))</f>
        <v/>
      </c>
      <c r="G453" s="24">
        <f>IF(D453="","",IFERROR(INDEX(Mentors!$P$2:$P$151,MATCH(D453,Mentors!$A$2:$A$151,0))&amp;"",""))</f>
        <v/>
      </c>
      <c r="H453" s="32" t="n"/>
      <c r="I453" s="32" t="n"/>
      <c r="J453" s="32" t="n"/>
      <c r="K453" s="24">
        <f>IF(B453="","",COUNT(I453:J453))</f>
        <v/>
      </c>
      <c r="L453" s="24" t="n"/>
      <c r="M453" s="24" t="n"/>
      <c r="N453" s="24" t="n"/>
      <c r="O453" s="24" t="n"/>
    </row>
    <row r="454">
      <c r="A454" s="24" t="inlineStr">
        <is>
          <t>M-453</t>
        </is>
      </c>
      <c r="B454" s="24" t="n"/>
      <c r="C454" s="24">
        <f>IF(B454="","",IFERROR(INDEX(Mentees!$D$2:$D$301,MATCH(B454,Mentees!$A$2:$A$301,0)),"ID not found"))</f>
        <v/>
      </c>
      <c r="D454" s="24" t="n"/>
      <c r="E454" s="24">
        <f>IF(D454="","",IFERROR(INDEX(Mentors!$D$2:$D$151,MATCH(D454,Mentors!$A$2:$A$151,0)),"ID not found"))</f>
        <v/>
      </c>
      <c r="F454" s="24">
        <f>IF(D454="","",IFERROR(INDEX(Mentors!$F$2:$F$151,MATCH(D454,Mentors!$A$2:$A$151,0))&amp;"",""))</f>
        <v/>
      </c>
      <c r="G454" s="24">
        <f>IF(D454="","",IFERROR(INDEX(Mentors!$P$2:$P$151,MATCH(D454,Mentors!$A$2:$A$151,0))&amp;"",""))</f>
        <v/>
      </c>
      <c r="H454" s="32" t="n"/>
      <c r="I454" s="32" t="n"/>
      <c r="J454" s="32" t="n"/>
      <c r="K454" s="24">
        <f>IF(B454="","",COUNT(I454:J454))</f>
        <v/>
      </c>
      <c r="L454" s="24" t="n"/>
      <c r="M454" s="24" t="n"/>
      <c r="N454" s="24" t="n"/>
      <c r="O454" s="24" t="n"/>
    </row>
    <row r="455">
      <c r="A455" s="24" t="inlineStr">
        <is>
          <t>M-454</t>
        </is>
      </c>
      <c r="B455" s="24" t="n"/>
      <c r="C455" s="24">
        <f>IF(B455="","",IFERROR(INDEX(Mentees!$D$2:$D$301,MATCH(B455,Mentees!$A$2:$A$301,0)),"ID not found"))</f>
        <v/>
      </c>
      <c r="D455" s="24" t="n"/>
      <c r="E455" s="24">
        <f>IF(D455="","",IFERROR(INDEX(Mentors!$D$2:$D$151,MATCH(D455,Mentors!$A$2:$A$151,0)),"ID not found"))</f>
        <v/>
      </c>
      <c r="F455" s="24">
        <f>IF(D455="","",IFERROR(INDEX(Mentors!$F$2:$F$151,MATCH(D455,Mentors!$A$2:$A$151,0))&amp;"",""))</f>
        <v/>
      </c>
      <c r="G455" s="24">
        <f>IF(D455="","",IFERROR(INDEX(Mentors!$P$2:$P$151,MATCH(D455,Mentors!$A$2:$A$151,0))&amp;"",""))</f>
        <v/>
      </c>
      <c r="H455" s="32" t="n"/>
      <c r="I455" s="32" t="n"/>
      <c r="J455" s="32" t="n"/>
      <c r="K455" s="24">
        <f>IF(B455="","",COUNT(I455:J455))</f>
        <v/>
      </c>
      <c r="L455" s="24" t="n"/>
      <c r="M455" s="24" t="n"/>
      <c r="N455" s="24" t="n"/>
      <c r="O455" s="24" t="n"/>
    </row>
    <row r="456">
      <c r="A456" s="24" t="inlineStr">
        <is>
          <t>M-455</t>
        </is>
      </c>
      <c r="B456" s="24" t="n"/>
      <c r="C456" s="24">
        <f>IF(B456="","",IFERROR(INDEX(Mentees!$D$2:$D$301,MATCH(B456,Mentees!$A$2:$A$301,0)),"ID not found"))</f>
        <v/>
      </c>
      <c r="D456" s="24" t="n"/>
      <c r="E456" s="24">
        <f>IF(D456="","",IFERROR(INDEX(Mentors!$D$2:$D$151,MATCH(D456,Mentors!$A$2:$A$151,0)),"ID not found"))</f>
        <v/>
      </c>
      <c r="F456" s="24">
        <f>IF(D456="","",IFERROR(INDEX(Mentors!$F$2:$F$151,MATCH(D456,Mentors!$A$2:$A$151,0))&amp;"",""))</f>
        <v/>
      </c>
      <c r="G456" s="24">
        <f>IF(D456="","",IFERROR(INDEX(Mentors!$P$2:$P$151,MATCH(D456,Mentors!$A$2:$A$151,0))&amp;"",""))</f>
        <v/>
      </c>
      <c r="H456" s="32" t="n"/>
      <c r="I456" s="32" t="n"/>
      <c r="J456" s="32" t="n"/>
      <c r="K456" s="24">
        <f>IF(B456="","",COUNT(I456:J456))</f>
        <v/>
      </c>
      <c r="L456" s="24" t="n"/>
      <c r="M456" s="24" t="n"/>
      <c r="N456" s="24" t="n"/>
      <c r="O456" s="24" t="n"/>
    </row>
    <row r="457">
      <c r="A457" s="24" t="inlineStr">
        <is>
          <t>M-456</t>
        </is>
      </c>
      <c r="B457" s="24" t="n"/>
      <c r="C457" s="24">
        <f>IF(B457="","",IFERROR(INDEX(Mentees!$D$2:$D$301,MATCH(B457,Mentees!$A$2:$A$301,0)),"ID not found"))</f>
        <v/>
      </c>
      <c r="D457" s="24" t="n"/>
      <c r="E457" s="24">
        <f>IF(D457="","",IFERROR(INDEX(Mentors!$D$2:$D$151,MATCH(D457,Mentors!$A$2:$A$151,0)),"ID not found"))</f>
        <v/>
      </c>
      <c r="F457" s="24">
        <f>IF(D457="","",IFERROR(INDEX(Mentors!$F$2:$F$151,MATCH(D457,Mentors!$A$2:$A$151,0))&amp;"",""))</f>
        <v/>
      </c>
      <c r="G457" s="24">
        <f>IF(D457="","",IFERROR(INDEX(Mentors!$P$2:$P$151,MATCH(D457,Mentors!$A$2:$A$151,0))&amp;"",""))</f>
        <v/>
      </c>
      <c r="H457" s="32" t="n"/>
      <c r="I457" s="32" t="n"/>
      <c r="J457" s="32" t="n"/>
      <c r="K457" s="24">
        <f>IF(B457="","",COUNT(I457:J457))</f>
        <v/>
      </c>
      <c r="L457" s="24" t="n"/>
      <c r="M457" s="24" t="n"/>
      <c r="N457" s="24" t="n"/>
      <c r="O457" s="24" t="n"/>
    </row>
    <row r="458">
      <c r="A458" s="24" t="inlineStr">
        <is>
          <t>M-457</t>
        </is>
      </c>
      <c r="B458" s="24" t="n"/>
      <c r="C458" s="24">
        <f>IF(B458="","",IFERROR(INDEX(Mentees!$D$2:$D$301,MATCH(B458,Mentees!$A$2:$A$301,0)),"ID not found"))</f>
        <v/>
      </c>
      <c r="D458" s="24" t="n"/>
      <c r="E458" s="24">
        <f>IF(D458="","",IFERROR(INDEX(Mentors!$D$2:$D$151,MATCH(D458,Mentors!$A$2:$A$151,0)),"ID not found"))</f>
        <v/>
      </c>
      <c r="F458" s="24">
        <f>IF(D458="","",IFERROR(INDEX(Mentors!$F$2:$F$151,MATCH(D458,Mentors!$A$2:$A$151,0))&amp;"",""))</f>
        <v/>
      </c>
      <c r="G458" s="24">
        <f>IF(D458="","",IFERROR(INDEX(Mentors!$P$2:$P$151,MATCH(D458,Mentors!$A$2:$A$151,0))&amp;"",""))</f>
        <v/>
      </c>
      <c r="H458" s="32" t="n"/>
      <c r="I458" s="32" t="n"/>
      <c r="J458" s="32" t="n"/>
      <c r="K458" s="24">
        <f>IF(B458="","",COUNT(I458:J458))</f>
        <v/>
      </c>
      <c r="L458" s="24" t="n"/>
      <c r="M458" s="24" t="n"/>
      <c r="N458" s="24" t="n"/>
      <c r="O458" s="24" t="n"/>
    </row>
    <row r="459">
      <c r="A459" s="24" t="inlineStr">
        <is>
          <t>M-458</t>
        </is>
      </c>
      <c r="B459" s="24" t="n"/>
      <c r="C459" s="24">
        <f>IF(B459="","",IFERROR(INDEX(Mentees!$D$2:$D$301,MATCH(B459,Mentees!$A$2:$A$301,0)),"ID not found"))</f>
        <v/>
      </c>
      <c r="D459" s="24" t="n"/>
      <c r="E459" s="24">
        <f>IF(D459="","",IFERROR(INDEX(Mentors!$D$2:$D$151,MATCH(D459,Mentors!$A$2:$A$151,0)),"ID not found"))</f>
        <v/>
      </c>
      <c r="F459" s="24">
        <f>IF(D459="","",IFERROR(INDEX(Mentors!$F$2:$F$151,MATCH(D459,Mentors!$A$2:$A$151,0))&amp;"",""))</f>
        <v/>
      </c>
      <c r="G459" s="24">
        <f>IF(D459="","",IFERROR(INDEX(Mentors!$P$2:$P$151,MATCH(D459,Mentors!$A$2:$A$151,0))&amp;"",""))</f>
        <v/>
      </c>
      <c r="H459" s="32" t="n"/>
      <c r="I459" s="32" t="n"/>
      <c r="J459" s="32" t="n"/>
      <c r="K459" s="24">
        <f>IF(B459="","",COUNT(I459:J459))</f>
        <v/>
      </c>
      <c r="L459" s="24" t="n"/>
      <c r="M459" s="24" t="n"/>
      <c r="N459" s="24" t="n"/>
      <c r="O459" s="24" t="n"/>
    </row>
    <row r="460">
      <c r="A460" s="24" t="inlineStr">
        <is>
          <t>M-459</t>
        </is>
      </c>
      <c r="B460" s="24" t="n"/>
      <c r="C460" s="24">
        <f>IF(B460="","",IFERROR(INDEX(Mentees!$D$2:$D$301,MATCH(B460,Mentees!$A$2:$A$301,0)),"ID not found"))</f>
        <v/>
      </c>
      <c r="D460" s="24" t="n"/>
      <c r="E460" s="24">
        <f>IF(D460="","",IFERROR(INDEX(Mentors!$D$2:$D$151,MATCH(D460,Mentors!$A$2:$A$151,0)),"ID not found"))</f>
        <v/>
      </c>
      <c r="F460" s="24">
        <f>IF(D460="","",IFERROR(INDEX(Mentors!$F$2:$F$151,MATCH(D460,Mentors!$A$2:$A$151,0))&amp;"",""))</f>
        <v/>
      </c>
      <c r="G460" s="24">
        <f>IF(D460="","",IFERROR(INDEX(Mentors!$P$2:$P$151,MATCH(D460,Mentors!$A$2:$A$151,0))&amp;"",""))</f>
        <v/>
      </c>
      <c r="H460" s="32" t="n"/>
      <c r="I460" s="32" t="n"/>
      <c r="J460" s="32" t="n"/>
      <c r="K460" s="24">
        <f>IF(B460="","",COUNT(I460:J460))</f>
        <v/>
      </c>
      <c r="L460" s="24" t="n"/>
      <c r="M460" s="24" t="n"/>
      <c r="N460" s="24" t="n"/>
      <c r="O460" s="24" t="n"/>
    </row>
    <row r="461">
      <c r="A461" s="24" t="inlineStr">
        <is>
          <t>M-460</t>
        </is>
      </c>
      <c r="B461" s="24" t="n"/>
      <c r="C461" s="24">
        <f>IF(B461="","",IFERROR(INDEX(Mentees!$D$2:$D$301,MATCH(B461,Mentees!$A$2:$A$301,0)),"ID not found"))</f>
        <v/>
      </c>
      <c r="D461" s="24" t="n"/>
      <c r="E461" s="24">
        <f>IF(D461="","",IFERROR(INDEX(Mentors!$D$2:$D$151,MATCH(D461,Mentors!$A$2:$A$151,0)),"ID not found"))</f>
        <v/>
      </c>
      <c r="F461" s="24">
        <f>IF(D461="","",IFERROR(INDEX(Mentors!$F$2:$F$151,MATCH(D461,Mentors!$A$2:$A$151,0))&amp;"",""))</f>
        <v/>
      </c>
      <c r="G461" s="24">
        <f>IF(D461="","",IFERROR(INDEX(Mentors!$P$2:$P$151,MATCH(D461,Mentors!$A$2:$A$151,0))&amp;"",""))</f>
        <v/>
      </c>
      <c r="H461" s="32" t="n"/>
      <c r="I461" s="32" t="n"/>
      <c r="J461" s="32" t="n"/>
      <c r="K461" s="24">
        <f>IF(B461="","",COUNT(I461:J461))</f>
        <v/>
      </c>
      <c r="L461" s="24" t="n"/>
      <c r="M461" s="24" t="n"/>
      <c r="N461" s="24" t="n"/>
      <c r="O461" s="24" t="n"/>
    </row>
    <row r="462">
      <c r="A462" s="24" t="inlineStr">
        <is>
          <t>M-461</t>
        </is>
      </c>
      <c r="B462" s="24" t="n"/>
      <c r="C462" s="24">
        <f>IF(B462="","",IFERROR(INDEX(Mentees!$D$2:$D$301,MATCH(B462,Mentees!$A$2:$A$301,0)),"ID not found"))</f>
        <v/>
      </c>
      <c r="D462" s="24" t="n"/>
      <c r="E462" s="24">
        <f>IF(D462="","",IFERROR(INDEX(Mentors!$D$2:$D$151,MATCH(D462,Mentors!$A$2:$A$151,0)),"ID not found"))</f>
        <v/>
      </c>
      <c r="F462" s="24">
        <f>IF(D462="","",IFERROR(INDEX(Mentors!$F$2:$F$151,MATCH(D462,Mentors!$A$2:$A$151,0))&amp;"",""))</f>
        <v/>
      </c>
      <c r="G462" s="24">
        <f>IF(D462="","",IFERROR(INDEX(Mentors!$P$2:$P$151,MATCH(D462,Mentors!$A$2:$A$151,0))&amp;"",""))</f>
        <v/>
      </c>
      <c r="H462" s="32" t="n"/>
      <c r="I462" s="32" t="n"/>
      <c r="J462" s="32" t="n"/>
      <c r="K462" s="24">
        <f>IF(B462="","",COUNT(I462:J462))</f>
        <v/>
      </c>
      <c r="L462" s="24" t="n"/>
      <c r="M462" s="24" t="n"/>
      <c r="N462" s="24" t="n"/>
      <c r="O462" s="24" t="n"/>
    </row>
    <row r="463">
      <c r="A463" s="24" t="inlineStr">
        <is>
          <t>M-462</t>
        </is>
      </c>
      <c r="B463" s="24" t="n"/>
      <c r="C463" s="24">
        <f>IF(B463="","",IFERROR(INDEX(Mentees!$D$2:$D$301,MATCH(B463,Mentees!$A$2:$A$301,0)),"ID not found"))</f>
        <v/>
      </c>
      <c r="D463" s="24" t="n"/>
      <c r="E463" s="24">
        <f>IF(D463="","",IFERROR(INDEX(Mentors!$D$2:$D$151,MATCH(D463,Mentors!$A$2:$A$151,0)),"ID not found"))</f>
        <v/>
      </c>
      <c r="F463" s="24">
        <f>IF(D463="","",IFERROR(INDEX(Mentors!$F$2:$F$151,MATCH(D463,Mentors!$A$2:$A$151,0))&amp;"",""))</f>
        <v/>
      </c>
      <c r="G463" s="24">
        <f>IF(D463="","",IFERROR(INDEX(Mentors!$P$2:$P$151,MATCH(D463,Mentors!$A$2:$A$151,0))&amp;"",""))</f>
        <v/>
      </c>
      <c r="H463" s="32" t="n"/>
      <c r="I463" s="32" t="n"/>
      <c r="J463" s="32" t="n"/>
      <c r="K463" s="24">
        <f>IF(B463="","",COUNT(I463:J463))</f>
        <v/>
      </c>
      <c r="L463" s="24" t="n"/>
      <c r="M463" s="24" t="n"/>
      <c r="N463" s="24" t="n"/>
      <c r="O463" s="24" t="n"/>
    </row>
    <row r="464">
      <c r="A464" s="24" t="inlineStr">
        <is>
          <t>M-463</t>
        </is>
      </c>
      <c r="B464" s="24" t="n"/>
      <c r="C464" s="24">
        <f>IF(B464="","",IFERROR(INDEX(Mentees!$D$2:$D$301,MATCH(B464,Mentees!$A$2:$A$301,0)),"ID not found"))</f>
        <v/>
      </c>
      <c r="D464" s="24" t="n"/>
      <c r="E464" s="24">
        <f>IF(D464="","",IFERROR(INDEX(Mentors!$D$2:$D$151,MATCH(D464,Mentors!$A$2:$A$151,0)),"ID not found"))</f>
        <v/>
      </c>
      <c r="F464" s="24">
        <f>IF(D464="","",IFERROR(INDEX(Mentors!$F$2:$F$151,MATCH(D464,Mentors!$A$2:$A$151,0))&amp;"",""))</f>
        <v/>
      </c>
      <c r="G464" s="24">
        <f>IF(D464="","",IFERROR(INDEX(Mentors!$P$2:$P$151,MATCH(D464,Mentors!$A$2:$A$151,0))&amp;"",""))</f>
        <v/>
      </c>
      <c r="H464" s="32" t="n"/>
      <c r="I464" s="32" t="n"/>
      <c r="J464" s="32" t="n"/>
      <c r="K464" s="24">
        <f>IF(B464="","",COUNT(I464:J464))</f>
        <v/>
      </c>
      <c r="L464" s="24" t="n"/>
      <c r="M464" s="24" t="n"/>
      <c r="N464" s="24" t="n"/>
      <c r="O464" s="24" t="n"/>
    </row>
    <row r="465">
      <c r="A465" s="24" t="inlineStr">
        <is>
          <t>M-464</t>
        </is>
      </c>
      <c r="B465" s="24" t="n"/>
      <c r="C465" s="24">
        <f>IF(B465="","",IFERROR(INDEX(Mentees!$D$2:$D$301,MATCH(B465,Mentees!$A$2:$A$301,0)),"ID not found"))</f>
        <v/>
      </c>
      <c r="D465" s="24" t="n"/>
      <c r="E465" s="24">
        <f>IF(D465="","",IFERROR(INDEX(Mentors!$D$2:$D$151,MATCH(D465,Mentors!$A$2:$A$151,0)),"ID not found"))</f>
        <v/>
      </c>
      <c r="F465" s="24">
        <f>IF(D465="","",IFERROR(INDEX(Mentors!$F$2:$F$151,MATCH(D465,Mentors!$A$2:$A$151,0))&amp;"",""))</f>
        <v/>
      </c>
      <c r="G465" s="24">
        <f>IF(D465="","",IFERROR(INDEX(Mentors!$P$2:$P$151,MATCH(D465,Mentors!$A$2:$A$151,0))&amp;"",""))</f>
        <v/>
      </c>
      <c r="H465" s="32" t="n"/>
      <c r="I465" s="32" t="n"/>
      <c r="J465" s="32" t="n"/>
      <c r="K465" s="24">
        <f>IF(B465="","",COUNT(I465:J465))</f>
        <v/>
      </c>
      <c r="L465" s="24" t="n"/>
      <c r="M465" s="24" t="n"/>
      <c r="N465" s="24" t="n"/>
      <c r="O465" s="24" t="n"/>
    </row>
    <row r="466">
      <c r="A466" s="24" t="inlineStr">
        <is>
          <t>M-465</t>
        </is>
      </c>
      <c r="B466" s="24" t="n"/>
      <c r="C466" s="24">
        <f>IF(B466="","",IFERROR(INDEX(Mentees!$D$2:$D$301,MATCH(B466,Mentees!$A$2:$A$301,0)),"ID not found"))</f>
        <v/>
      </c>
      <c r="D466" s="24" t="n"/>
      <c r="E466" s="24">
        <f>IF(D466="","",IFERROR(INDEX(Mentors!$D$2:$D$151,MATCH(D466,Mentors!$A$2:$A$151,0)),"ID not found"))</f>
        <v/>
      </c>
      <c r="F466" s="24">
        <f>IF(D466="","",IFERROR(INDEX(Mentors!$F$2:$F$151,MATCH(D466,Mentors!$A$2:$A$151,0))&amp;"",""))</f>
        <v/>
      </c>
      <c r="G466" s="24">
        <f>IF(D466="","",IFERROR(INDEX(Mentors!$P$2:$P$151,MATCH(D466,Mentors!$A$2:$A$151,0))&amp;"",""))</f>
        <v/>
      </c>
      <c r="H466" s="32" t="n"/>
      <c r="I466" s="32" t="n"/>
      <c r="J466" s="32" t="n"/>
      <c r="K466" s="24">
        <f>IF(B466="","",COUNT(I466:J466))</f>
        <v/>
      </c>
      <c r="L466" s="24" t="n"/>
      <c r="M466" s="24" t="n"/>
      <c r="N466" s="24" t="n"/>
      <c r="O466" s="24" t="n"/>
    </row>
    <row r="467">
      <c r="A467" s="24" t="inlineStr">
        <is>
          <t>M-466</t>
        </is>
      </c>
      <c r="B467" s="24" t="n"/>
      <c r="C467" s="24">
        <f>IF(B467="","",IFERROR(INDEX(Mentees!$D$2:$D$301,MATCH(B467,Mentees!$A$2:$A$301,0)),"ID not found"))</f>
        <v/>
      </c>
      <c r="D467" s="24" t="n"/>
      <c r="E467" s="24">
        <f>IF(D467="","",IFERROR(INDEX(Mentors!$D$2:$D$151,MATCH(D467,Mentors!$A$2:$A$151,0)),"ID not found"))</f>
        <v/>
      </c>
      <c r="F467" s="24">
        <f>IF(D467="","",IFERROR(INDEX(Mentors!$F$2:$F$151,MATCH(D467,Mentors!$A$2:$A$151,0))&amp;"",""))</f>
        <v/>
      </c>
      <c r="G467" s="24">
        <f>IF(D467="","",IFERROR(INDEX(Mentors!$P$2:$P$151,MATCH(D467,Mentors!$A$2:$A$151,0))&amp;"",""))</f>
        <v/>
      </c>
      <c r="H467" s="32" t="n"/>
      <c r="I467" s="32" t="n"/>
      <c r="J467" s="32" t="n"/>
      <c r="K467" s="24">
        <f>IF(B467="","",COUNT(I467:J467))</f>
        <v/>
      </c>
      <c r="L467" s="24" t="n"/>
      <c r="M467" s="24" t="n"/>
      <c r="N467" s="24" t="n"/>
      <c r="O467" s="24" t="n"/>
    </row>
    <row r="468">
      <c r="A468" s="24" t="inlineStr">
        <is>
          <t>M-467</t>
        </is>
      </c>
      <c r="B468" s="24" t="n"/>
      <c r="C468" s="24">
        <f>IF(B468="","",IFERROR(INDEX(Mentees!$D$2:$D$301,MATCH(B468,Mentees!$A$2:$A$301,0)),"ID not found"))</f>
        <v/>
      </c>
      <c r="D468" s="24" t="n"/>
      <c r="E468" s="24">
        <f>IF(D468="","",IFERROR(INDEX(Mentors!$D$2:$D$151,MATCH(D468,Mentors!$A$2:$A$151,0)),"ID not found"))</f>
        <v/>
      </c>
      <c r="F468" s="24">
        <f>IF(D468="","",IFERROR(INDEX(Mentors!$F$2:$F$151,MATCH(D468,Mentors!$A$2:$A$151,0))&amp;"",""))</f>
        <v/>
      </c>
      <c r="G468" s="24">
        <f>IF(D468="","",IFERROR(INDEX(Mentors!$P$2:$P$151,MATCH(D468,Mentors!$A$2:$A$151,0))&amp;"",""))</f>
        <v/>
      </c>
      <c r="H468" s="32" t="n"/>
      <c r="I468" s="32" t="n"/>
      <c r="J468" s="32" t="n"/>
      <c r="K468" s="24">
        <f>IF(B468="","",COUNT(I468:J468))</f>
        <v/>
      </c>
      <c r="L468" s="24" t="n"/>
      <c r="M468" s="24" t="n"/>
      <c r="N468" s="24" t="n"/>
      <c r="O468" s="24" t="n"/>
    </row>
    <row r="469">
      <c r="A469" s="24" t="inlineStr">
        <is>
          <t>M-468</t>
        </is>
      </c>
      <c r="B469" s="24" t="n"/>
      <c r="C469" s="24">
        <f>IF(B469="","",IFERROR(INDEX(Mentees!$D$2:$D$301,MATCH(B469,Mentees!$A$2:$A$301,0)),"ID not found"))</f>
        <v/>
      </c>
      <c r="D469" s="24" t="n"/>
      <c r="E469" s="24">
        <f>IF(D469="","",IFERROR(INDEX(Mentors!$D$2:$D$151,MATCH(D469,Mentors!$A$2:$A$151,0)),"ID not found"))</f>
        <v/>
      </c>
      <c r="F469" s="24">
        <f>IF(D469="","",IFERROR(INDEX(Mentors!$F$2:$F$151,MATCH(D469,Mentors!$A$2:$A$151,0))&amp;"",""))</f>
        <v/>
      </c>
      <c r="G469" s="24">
        <f>IF(D469="","",IFERROR(INDEX(Mentors!$P$2:$P$151,MATCH(D469,Mentors!$A$2:$A$151,0))&amp;"",""))</f>
        <v/>
      </c>
      <c r="H469" s="32" t="n"/>
      <c r="I469" s="32" t="n"/>
      <c r="J469" s="32" t="n"/>
      <c r="K469" s="24">
        <f>IF(B469="","",COUNT(I469:J469))</f>
        <v/>
      </c>
      <c r="L469" s="24" t="n"/>
      <c r="M469" s="24" t="n"/>
      <c r="N469" s="24" t="n"/>
      <c r="O469" s="24" t="n"/>
    </row>
    <row r="470">
      <c r="A470" s="24" t="inlineStr">
        <is>
          <t>M-469</t>
        </is>
      </c>
      <c r="B470" s="24" t="n"/>
      <c r="C470" s="24">
        <f>IF(B470="","",IFERROR(INDEX(Mentees!$D$2:$D$301,MATCH(B470,Mentees!$A$2:$A$301,0)),"ID not found"))</f>
        <v/>
      </c>
      <c r="D470" s="24" t="n"/>
      <c r="E470" s="24">
        <f>IF(D470="","",IFERROR(INDEX(Mentors!$D$2:$D$151,MATCH(D470,Mentors!$A$2:$A$151,0)),"ID not found"))</f>
        <v/>
      </c>
      <c r="F470" s="24">
        <f>IF(D470="","",IFERROR(INDEX(Mentors!$F$2:$F$151,MATCH(D470,Mentors!$A$2:$A$151,0))&amp;"",""))</f>
        <v/>
      </c>
      <c r="G470" s="24">
        <f>IF(D470="","",IFERROR(INDEX(Mentors!$P$2:$P$151,MATCH(D470,Mentors!$A$2:$A$151,0))&amp;"",""))</f>
        <v/>
      </c>
      <c r="H470" s="32" t="n"/>
      <c r="I470" s="32" t="n"/>
      <c r="J470" s="32" t="n"/>
      <c r="K470" s="24">
        <f>IF(B470="","",COUNT(I470:J470))</f>
        <v/>
      </c>
      <c r="L470" s="24" t="n"/>
      <c r="M470" s="24" t="n"/>
      <c r="N470" s="24" t="n"/>
      <c r="O470" s="24" t="n"/>
    </row>
    <row r="471">
      <c r="A471" s="24" t="inlineStr">
        <is>
          <t>M-470</t>
        </is>
      </c>
      <c r="B471" s="24" t="n"/>
      <c r="C471" s="24">
        <f>IF(B471="","",IFERROR(INDEX(Mentees!$D$2:$D$301,MATCH(B471,Mentees!$A$2:$A$301,0)),"ID not found"))</f>
        <v/>
      </c>
      <c r="D471" s="24" t="n"/>
      <c r="E471" s="24">
        <f>IF(D471="","",IFERROR(INDEX(Mentors!$D$2:$D$151,MATCH(D471,Mentors!$A$2:$A$151,0)),"ID not found"))</f>
        <v/>
      </c>
      <c r="F471" s="24">
        <f>IF(D471="","",IFERROR(INDEX(Mentors!$F$2:$F$151,MATCH(D471,Mentors!$A$2:$A$151,0))&amp;"",""))</f>
        <v/>
      </c>
      <c r="G471" s="24">
        <f>IF(D471="","",IFERROR(INDEX(Mentors!$P$2:$P$151,MATCH(D471,Mentors!$A$2:$A$151,0))&amp;"",""))</f>
        <v/>
      </c>
      <c r="H471" s="32" t="n"/>
      <c r="I471" s="32" t="n"/>
      <c r="J471" s="32" t="n"/>
      <c r="K471" s="24">
        <f>IF(B471="","",COUNT(I471:J471))</f>
        <v/>
      </c>
      <c r="L471" s="24" t="n"/>
      <c r="M471" s="24" t="n"/>
      <c r="N471" s="24" t="n"/>
      <c r="O471" s="24" t="n"/>
    </row>
    <row r="472">
      <c r="A472" s="24" t="inlineStr">
        <is>
          <t>M-471</t>
        </is>
      </c>
      <c r="B472" s="24" t="n"/>
      <c r="C472" s="24">
        <f>IF(B472="","",IFERROR(INDEX(Mentees!$D$2:$D$301,MATCH(B472,Mentees!$A$2:$A$301,0)),"ID not found"))</f>
        <v/>
      </c>
      <c r="D472" s="24" t="n"/>
      <c r="E472" s="24">
        <f>IF(D472="","",IFERROR(INDEX(Mentors!$D$2:$D$151,MATCH(D472,Mentors!$A$2:$A$151,0)),"ID not found"))</f>
        <v/>
      </c>
      <c r="F472" s="24">
        <f>IF(D472="","",IFERROR(INDEX(Mentors!$F$2:$F$151,MATCH(D472,Mentors!$A$2:$A$151,0))&amp;"",""))</f>
        <v/>
      </c>
      <c r="G472" s="24">
        <f>IF(D472="","",IFERROR(INDEX(Mentors!$P$2:$P$151,MATCH(D472,Mentors!$A$2:$A$151,0))&amp;"",""))</f>
        <v/>
      </c>
      <c r="H472" s="32" t="n"/>
      <c r="I472" s="32" t="n"/>
      <c r="J472" s="32" t="n"/>
      <c r="K472" s="24">
        <f>IF(B472="","",COUNT(I472:J472))</f>
        <v/>
      </c>
      <c r="L472" s="24" t="n"/>
      <c r="M472" s="24" t="n"/>
      <c r="N472" s="24" t="n"/>
      <c r="O472" s="24" t="n"/>
    </row>
    <row r="473">
      <c r="A473" s="24" t="inlineStr">
        <is>
          <t>M-472</t>
        </is>
      </c>
      <c r="B473" s="24" t="n"/>
      <c r="C473" s="24">
        <f>IF(B473="","",IFERROR(INDEX(Mentees!$D$2:$D$301,MATCH(B473,Mentees!$A$2:$A$301,0)),"ID not found"))</f>
        <v/>
      </c>
      <c r="D473" s="24" t="n"/>
      <c r="E473" s="24">
        <f>IF(D473="","",IFERROR(INDEX(Mentors!$D$2:$D$151,MATCH(D473,Mentors!$A$2:$A$151,0)),"ID not found"))</f>
        <v/>
      </c>
      <c r="F473" s="24">
        <f>IF(D473="","",IFERROR(INDEX(Mentors!$F$2:$F$151,MATCH(D473,Mentors!$A$2:$A$151,0))&amp;"",""))</f>
        <v/>
      </c>
      <c r="G473" s="24">
        <f>IF(D473="","",IFERROR(INDEX(Mentors!$P$2:$P$151,MATCH(D473,Mentors!$A$2:$A$151,0))&amp;"",""))</f>
        <v/>
      </c>
      <c r="H473" s="32" t="n"/>
      <c r="I473" s="32" t="n"/>
      <c r="J473" s="32" t="n"/>
      <c r="K473" s="24">
        <f>IF(B473="","",COUNT(I473:J473))</f>
        <v/>
      </c>
      <c r="L473" s="24" t="n"/>
      <c r="M473" s="24" t="n"/>
      <c r="N473" s="24" t="n"/>
      <c r="O473" s="24" t="n"/>
    </row>
    <row r="474">
      <c r="A474" s="24" t="inlineStr">
        <is>
          <t>M-473</t>
        </is>
      </c>
      <c r="B474" s="24" t="n"/>
      <c r="C474" s="24">
        <f>IF(B474="","",IFERROR(INDEX(Mentees!$D$2:$D$301,MATCH(B474,Mentees!$A$2:$A$301,0)),"ID not found"))</f>
        <v/>
      </c>
      <c r="D474" s="24" t="n"/>
      <c r="E474" s="24">
        <f>IF(D474="","",IFERROR(INDEX(Mentors!$D$2:$D$151,MATCH(D474,Mentors!$A$2:$A$151,0)),"ID not found"))</f>
        <v/>
      </c>
      <c r="F474" s="24">
        <f>IF(D474="","",IFERROR(INDEX(Mentors!$F$2:$F$151,MATCH(D474,Mentors!$A$2:$A$151,0))&amp;"",""))</f>
        <v/>
      </c>
      <c r="G474" s="24">
        <f>IF(D474="","",IFERROR(INDEX(Mentors!$P$2:$P$151,MATCH(D474,Mentors!$A$2:$A$151,0))&amp;"",""))</f>
        <v/>
      </c>
      <c r="H474" s="32" t="n"/>
      <c r="I474" s="32" t="n"/>
      <c r="J474" s="32" t="n"/>
      <c r="K474" s="24">
        <f>IF(B474="","",COUNT(I474:J474))</f>
        <v/>
      </c>
      <c r="L474" s="24" t="n"/>
      <c r="M474" s="24" t="n"/>
      <c r="N474" s="24" t="n"/>
      <c r="O474" s="24" t="n"/>
    </row>
    <row r="475">
      <c r="A475" s="24" t="inlineStr">
        <is>
          <t>M-474</t>
        </is>
      </c>
      <c r="B475" s="24" t="n"/>
      <c r="C475" s="24">
        <f>IF(B475="","",IFERROR(INDEX(Mentees!$D$2:$D$301,MATCH(B475,Mentees!$A$2:$A$301,0)),"ID not found"))</f>
        <v/>
      </c>
      <c r="D475" s="24" t="n"/>
      <c r="E475" s="24">
        <f>IF(D475="","",IFERROR(INDEX(Mentors!$D$2:$D$151,MATCH(D475,Mentors!$A$2:$A$151,0)),"ID not found"))</f>
        <v/>
      </c>
      <c r="F475" s="24">
        <f>IF(D475="","",IFERROR(INDEX(Mentors!$F$2:$F$151,MATCH(D475,Mentors!$A$2:$A$151,0))&amp;"",""))</f>
        <v/>
      </c>
      <c r="G475" s="24">
        <f>IF(D475="","",IFERROR(INDEX(Mentors!$P$2:$P$151,MATCH(D475,Mentors!$A$2:$A$151,0))&amp;"",""))</f>
        <v/>
      </c>
      <c r="H475" s="32" t="n"/>
      <c r="I475" s="32" t="n"/>
      <c r="J475" s="32" t="n"/>
      <c r="K475" s="24">
        <f>IF(B475="","",COUNT(I475:J475))</f>
        <v/>
      </c>
      <c r="L475" s="24" t="n"/>
      <c r="M475" s="24" t="n"/>
      <c r="N475" s="24" t="n"/>
      <c r="O475" s="24" t="n"/>
    </row>
    <row r="476">
      <c r="A476" s="24" t="inlineStr">
        <is>
          <t>M-475</t>
        </is>
      </c>
      <c r="B476" s="24" t="n"/>
      <c r="C476" s="24">
        <f>IF(B476="","",IFERROR(INDEX(Mentees!$D$2:$D$301,MATCH(B476,Mentees!$A$2:$A$301,0)),"ID not found"))</f>
        <v/>
      </c>
      <c r="D476" s="24" t="n"/>
      <c r="E476" s="24">
        <f>IF(D476="","",IFERROR(INDEX(Mentors!$D$2:$D$151,MATCH(D476,Mentors!$A$2:$A$151,0)),"ID not found"))</f>
        <v/>
      </c>
      <c r="F476" s="24">
        <f>IF(D476="","",IFERROR(INDEX(Mentors!$F$2:$F$151,MATCH(D476,Mentors!$A$2:$A$151,0))&amp;"",""))</f>
        <v/>
      </c>
      <c r="G476" s="24">
        <f>IF(D476="","",IFERROR(INDEX(Mentors!$P$2:$P$151,MATCH(D476,Mentors!$A$2:$A$151,0))&amp;"",""))</f>
        <v/>
      </c>
      <c r="H476" s="32" t="n"/>
      <c r="I476" s="32" t="n"/>
      <c r="J476" s="32" t="n"/>
      <c r="K476" s="24">
        <f>IF(B476="","",COUNT(I476:J476))</f>
        <v/>
      </c>
      <c r="L476" s="24" t="n"/>
      <c r="M476" s="24" t="n"/>
      <c r="N476" s="24" t="n"/>
      <c r="O476" s="24" t="n"/>
    </row>
    <row r="477">
      <c r="A477" s="24" t="inlineStr">
        <is>
          <t>M-476</t>
        </is>
      </c>
      <c r="B477" s="24" t="n"/>
      <c r="C477" s="24">
        <f>IF(B477="","",IFERROR(INDEX(Mentees!$D$2:$D$301,MATCH(B477,Mentees!$A$2:$A$301,0)),"ID not found"))</f>
        <v/>
      </c>
      <c r="D477" s="24" t="n"/>
      <c r="E477" s="24">
        <f>IF(D477="","",IFERROR(INDEX(Mentors!$D$2:$D$151,MATCH(D477,Mentors!$A$2:$A$151,0)),"ID not found"))</f>
        <v/>
      </c>
      <c r="F477" s="24">
        <f>IF(D477="","",IFERROR(INDEX(Mentors!$F$2:$F$151,MATCH(D477,Mentors!$A$2:$A$151,0))&amp;"",""))</f>
        <v/>
      </c>
      <c r="G477" s="24">
        <f>IF(D477="","",IFERROR(INDEX(Mentors!$P$2:$P$151,MATCH(D477,Mentors!$A$2:$A$151,0))&amp;"",""))</f>
        <v/>
      </c>
      <c r="H477" s="32" t="n"/>
      <c r="I477" s="32" t="n"/>
      <c r="J477" s="32" t="n"/>
      <c r="K477" s="24">
        <f>IF(B477="","",COUNT(I477:J477))</f>
        <v/>
      </c>
      <c r="L477" s="24" t="n"/>
      <c r="M477" s="24" t="n"/>
      <c r="N477" s="24" t="n"/>
      <c r="O477" s="24" t="n"/>
    </row>
    <row r="478">
      <c r="A478" s="24" t="inlineStr">
        <is>
          <t>M-477</t>
        </is>
      </c>
      <c r="B478" s="24" t="n"/>
      <c r="C478" s="24">
        <f>IF(B478="","",IFERROR(INDEX(Mentees!$D$2:$D$301,MATCH(B478,Mentees!$A$2:$A$301,0)),"ID not found"))</f>
        <v/>
      </c>
      <c r="D478" s="24" t="n"/>
      <c r="E478" s="24">
        <f>IF(D478="","",IFERROR(INDEX(Mentors!$D$2:$D$151,MATCH(D478,Mentors!$A$2:$A$151,0)),"ID not found"))</f>
        <v/>
      </c>
      <c r="F478" s="24">
        <f>IF(D478="","",IFERROR(INDEX(Mentors!$F$2:$F$151,MATCH(D478,Mentors!$A$2:$A$151,0))&amp;"",""))</f>
        <v/>
      </c>
      <c r="G478" s="24">
        <f>IF(D478="","",IFERROR(INDEX(Mentors!$P$2:$P$151,MATCH(D478,Mentors!$A$2:$A$151,0))&amp;"",""))</f>
        <v/>
      </c>
      <c r="H478" s="32" t="n"/>
      <c r="I478" s="32" t="n"/>
      <c r="J478" s="32" t="n"/>
      <c r="K478" s="24">
        <f>IF(B478="","",COUNT(I478:J478))</f>
        <v/>
      </c>
      <c r="L478" s="24" t="n"/>
      <c r="M478" s="24" t="n"/>
      <c r="N478" s="24" t="n"/>
      <c r="O478" s="24" t="n"/>
    </row>
    <row r="479">
      <c r="A479" s="24" t="inlineStr">
        <is>
          <t>M-478</t>
        </is>
      </c>
      <c r="B479" s="24" t="n"/>
      <c r="C479" s="24">
        <f>IF(B479="","",IFERROR(INDEX(Mentees!$D$2:$D$301,MATCH(B479,Mentees!$A$2:$A$301,0)),"ID not found"))</f>
        <v/>
      </c>
      <c r="D479" s="24" t="n"/>
      <c r="E479" s="24">
        <f>IF(D479="","",IFERROR(INDEX(Mentors!$D$2:$D$151,MATCH(D479,Mentors!$A$2:$A$151,0)),"ID not found"))</f>
        <v/>
      </c>
      <c r="F479" s="24">
        <f>IF(D479="","",IFERROR(INDEX(Mentors!$F$2:$F$151,MATCH(D479,Mentors!$A$2:$A$151,0))&amp;"",""))</f>
        <v/>
      </c>
      <c r="G479" s="24">
        <f>IF(D479="","",IFERROR(INDEX(Mentors!$P$2:$P$151,MATCH(D479,Mentors!$A$2:$A$151,0))&amp;"",""))</f>
        <v/>
      </c>
      <c r="H479" s="32" t="n"/>
      <c r="I479" s="32" t="n"/>
      <c r="J479" s="32" t="n"/>
      <c r="K479" s="24">
        <f>IF(B479="","",COUNT(I479:J479))</f>
        <v/>
      </c>
      <c r="L479" s="24" t="n"/>
      <c r="M479" s="24" t="n"/>
      <c r="N479" s="24" t="n"/>
      <c r="O479" s="24" t="n"/>
    </row>
    <row r="480">
      <c r="A480" s="24" t="inlineStr">
        <is>
          <t>M-479</t>
        </is>
      </c>
      <c r="B480" s="24" t="n"/>
      <c r="C480" s="24">
        <f>IF(B480="","",IFERROR(INDEX(Mentees!$D$2:$D$301,MATCH(B480,Mentees!$A$2:$A$301,0)),"ID not found"))</f>
        <v/>
      </c>
      <c r="D480" s="24" t="n"/>
      <c r="E480" s="24">
        <f>IF(D480="","",IFERROR(INDEX(Mentors!$D$2:$D$151,MATCH(D480,Mentors!$A$2:$A$151,0)),"ID not found"))</f>
        <v/>
      </c>
      <c r="F480" s="24">
        <f>IF(D480="","",IFERROR(INDEX(Mentors!$F$2:$F$151,MATCH(D480,Mentors!$A$2:$A$151,0))&amp;"",""))</f>
        <v/>
      </c>
      <c r="G480" s="24">
        <f>IF(D480="","",IFERROR(INDEX(Mentors!$P$2:$P$151,MATCH(D480,Mentors!$A$2:$A$151,0))&amp;"",""))</f>
        <v/>
      </c>
      <c r="H480" s="32" t="n"/>
      <c r="I480" s="32" t="n"/>
      <c r="J480" s="32" t="n"/>
      <c r="K480" s="24">
        <f>IF(B480="","",COUNT(I480:J480))</f>
        <v/>
      </c>
      <c r="L480" s="24" t="n"/>
      <c r="M480" s="24" t="n"/>
      <c r="N480" s="24" t="n"/>
      <c r="O480" s="24" t="n"/>
    </row>
    <row r="481">
      <c r="A481" s="24" t="inlineStr">
        <is>
          <t>M-480</t>
        </is>
      </c>
      <c r="B481" s="24" t="n"/>
      <c r="C481" s="24">
        <f>IF(B481="","",IFERROR(INDEX(Mentees!$D$2:$D$301,MATCH(B481,Mentees!$A$2:$A$301,0)),"ID not found"))</f>
        <v/>
      </c>
      <c r="D481" s="24" t="n"/>
      <c r="E481" s="24">
        <f>IF(D481="","",IFERROR(INDEX(Mentors!$D$2:$D$151,MATCH(D481,Mentors!$A$2:$A$151,0)),"ID not found"))</f>
        <v/>
      </c>
      <c r="F481" s="24">
        <f>IF(D481="","",IFERROR(INDEX(Mentors!$F$2:$F$151,MATCH(D481,Mentors!$A$2:$A$151,0))&amp;"",""))</f>
        <v/>
      </c>
      <c r="G481" s="24">
        <f>IF(D481="","",IFERROR(INDEX(Mentors!$P$2:$P$151,MATCH(D481,Mentors!$A$2:$A$151,0))&amp;"",""))</f>
        <v/>
      </c>
      <c r="H481" s="32" t="n"/>
      <c r="I481" s="32" t="n"/>
      <c r="J481" s="32" t="n"/>
      <c r="K481" s="24">
        <f>IF(B481="","",COUNT(I481:J481))</f>
        <v/>
      </c>
      <c r="L481" s="24" t="n"/>
      <c r="M481" s="24" t="n"/>
      <c r="N481" s="24" t="n"/>
      <c r="O481" s="24" t="n"/>
    </row>
    <row r="482">
      <c r="A482" s="24" t="inlineStr">
        <is>
          <t>M-481</t>
        </is>
      </c>
      <c r="B482" s="24" t="n"/>
      <c r="C482" s="24">
        <f>IF(B482="","",IFERROR(INDEX(Mentees!$D$2:$D$301,MATCH(B482,Mentees!$A$2:$A$301,0)),"ID not found"))</f>
        <v/>
      </c>
      <c r="D482" s="24" t="n"/>
      <c r="E482" s="24">
        <f>IF(D482="","",IFERROR(INDEX(Mentors!$D$2:$D$151,MATCH(D482,Mentors!$A$2:$A$151,0)),"ID not found"))</f>
        <v/>
      </c>
      <c r="F482" s="24">
        <f>IF(D482="","",IFERROR(INDEX(Mentors!$F$2:$F$151,MATCH(D482,Mentors!$A$2:$A$151,0))&amp;"",""))</f>
        <v/>
      </c>
      <c r="G482" s="24">
        <f>IF(D482="","",IFERROR(INDEX(Mentors!$P$2:$P$151,MATCH(D482,Mentors!$A$2:$A$151,0))&amp;"",""))</f>
        <v/>
      </c>
      <c r="H482" s="32" t="n"/>
      <c r="I482" s="32" t="n"/>
      <c r="J482" s="32" t="n"/>
      <c r="K482" s="24">
        <f>IF(B482="","",COUNT(I482:J482))</f>
        <v/>
      </c>
      <c r="L482" s="24" t="n"/>
      <c r="M482" s="24" t="n"/>
      <c r="N482" s="24" t="n"/>
      <c r="O482" s="24" t="n"/>
    </row>
    <row r="483">
      <c r="A483" s="24" t="inlineStr">
        <is>
          <t>M-482</t>
        </is>
      </c>
      <c r="B483" s="24" t="n"/>
      <c r="C483" s="24">
        <f>IF(B483="","",IFERROR(INDEX(Mentees!$D$2:$D$301,MATCH(B483,Mentees!$A$2:$A$301,0)),"ID not found"))</f>
        <v/>
      </c>
      <c r="D483" s="24" t="n"/>
      <c r="E483" s="24">
        <f>IF(D483="","",IFERROR(INDEX(Mentors!$D$2:$D$151,MATCH(D483,Mentors!$A$2:$A$151,0)),"ID not found"))</f>
        <v/>
      </c>
      <c r="F483" s="24">
        <f>IF(D483="","",IFERROR(INDEX(Mentors!$F$2:$F$151,MATCH(D483,Mentors!$A$2:$A$151,0))&amp;"",""))</f>
        <v/>
      </c>
      <c r="G483" s="24">
        <f>IF(D483="","",IFERROR(INDEX(Mentors!$P$2:$P$151,MATCH(D483,Mentors!$A$2:$A$151,0))&amp;"",""))</f>
        <v/>
      </c>
      <c r="H483" s="32" t="n"/>
      <c r="I483" s="32" t="n"/>
      <c r="J483" s="32" t="n"/>
      <c r="K483" s="24">
        <f>IF(B483="","",COUNT(I483:J483))</f>
        <v/>
      </c>
      <c r="L483" s="24" t="n"/>
      <c r="M483" s="24" t="n"/>
      <c r="N483" s="24" t="n"/>
      <c r="O483" s="24" t="n"/>
    </row>
    <row r="484">
      <c r="A484" s="24" t="inlineStr">
        <is>
          <t>M-483</t>
        </is>
      </c>
      <c r="B484" s="24" t="n"/>
      <c r="C484" s="24">
        <f>IF(B484="","",IFERROR(INDEX(Mentees!$D$2:$D$301,MATCH(B484,Mentees!$A$2:$A$301,0)),"ID not found"))</f>
        <v/>
      </c>
      <c r="D484" s="24" t="n"/>
      <c r="E484" s="24">
        <f>IF(D484="","",IFERROR(INDEX(Mentors!$D$2:$D$151,MATCH(D484,Mentors!$A$2:$A$151,0)),"ID not found"))</f>
        <v/>
      </c>
      <c r="F484" s="24">
        <f>IF(D484="","",IFERROR(INDEX(Mentors!$F$2:$F$151,MATCH(D484,Mentors!$A$2:$A$151,0))&amp;"",""))</f>
        <v/>
      </c>
      <c r="G484" s="24">
        <f>IF(D484="","",IFERROR(INDEX(Mentors!$P$2:$P$151,MATCH(D484,Mentors!$A$2:$A$151,0))&amp;"",""))</f>
        <v/>
      </c>
      <c r="H484" s="32" t="n"/>
      <c r="I484" s="32" t="n"/>
      <c r="J484" s="32" t="n"/>
      <c r="K484" s="24">
        <f>IF(B484="","",COUNT(I484:J484))</f>
        <v/>
      </c>
      <c r="L484" s="24" t="n"/>
      <c r="M484" s="24" t="n"/>
      <c r="N484" s="24" t="n"/>
      <c r="O484" s="24" t="n"/>
    </row>
    <row r="485">
      <c r="A485" s="24" t="inlineStr">
        <is>
          <t>M-484</t>
        </is>
      </c>
      <c r="B485" s="24" t="n"/>
      <c r="C485" s="24">
        <f>IF(B485="","",IFERROR(INDEX(Mentees!$D$2:$D$301,MATCH(B485,Mentees!$A$2:$A$301,0)),"ID not found"))</f>
        <v/>
      </c>
      <c r="D485" s="24" t="n"/>
      <c r="E485" s="24">
        <f>IF(D485="","",IFERROR(INDEX(Mentors!$D$2:$D$151,MATCH(D485,Mentors!$A$2:$A$151,0)),"ID not found"))</f>
        <v/>
      </c>
      <c r="F485" s="24">
        <f>IF(D485="","",IFERROR(INDEX(Mentors!$F$2:$F$151,MATCH(D485,Mentors!$A$2:$A$151,0))&amp;"",""))</f>
        <v/>
      </c>
      <c r="G485" s="24">
        <f>IF(D485="","",IFERROR(INDEX(Mentors!$P$2:$P$151,MATCH(D485,Mentors!$A$2:$A$151,0))&amp;"",""))</f>
        <v/>
      </c>
      <c r="H485" s="32" t="n"/>
      <c r="I485" s="32" t="n"/>
      <c r="J485" s="32" t="n"/>
      <c r="K485" s="24">
        <f>IF(B485="","",COUNT(I485:J485))</f>
        <v/>
      </c>
      <c r="L485" s="24" t="n"/>
      <c r="M485" s="24" t="n"/>
      <c r="N485" s="24" t="n"/>
      <c r="O485" s="24" t="n"/>
    </row>
    <row r="486">
      <c r="A486" s="24" t="inlineStr">
        <is>
          <t>M-485</t>
        </is>
      </c>
      <c r="B486" s="24" t="n"/>
      <c r="C486" s="24">
        <f>IF(B486="","",IFERROR(INDEX(Mentees!$D$2:$D$301,MATCH(B486,Mentees!$A$2:$A$301,0)),"ID not found"))</f>
        <v/>
      </c>
      <c r="D486" s="24" t="n"/>
      <c r="E486" s="24">
        <f>IF(D486="","",IFERROR(INDEX(Mentors!$D$2:$D$151,MATCH(D486,Mentors!$A$2:$A$151,0)),"ID not found"))</f>
        <v/>
      </c>
      <c r="F486" s="24">
        <f>IF(D486="","",IFERROR(INDEX(Mentors!$F$2:$F$151,MATCH(D486,Mentors!$A$2:$A$151,0))&amp;"",""))</f>
        <v/>
      </c>
      <c r="G486" s="24">
        <f>IF(D486="","",IFERROR(INDEX(Mentors!$P$2:$P$151,MATCH(D486,Mentors!$A$2:$A$151,0))&amp;"",""))</f>
        <v/>
      </c>
      <c r="H486" s="32" t="n"/>
      <c r="I486" s="32" t="n"/>
      <c r="J486" s="32" t="n"/>
      <c r="K486" s="24">
        <f>IF(B486="","",COUNT(I486:J486))</f>
        <v/>
      </c>
      <c r="L486" s="24" t="n"/>
      <c r="M486" s="24" t="n"/>
      <c r="N486" s="24" t="n"/>
      <c r="O486" s="24" t="n"/>
    </row>
    <row r="487">
      <c r="A487" s="24" t="inlineStr">
        <is>
          <t>M-486</t>
        </is>
      </c>
      <c r="B487" s="24" t="n"/>
      <c r="C487" s="24">
        <f>IF(B487="","",IFERROR(INDEX(Mentees!$D$2:$D$301,MATCH(B487,Mentees!$A$2:$A$301,0)),"ID not found"))</f>
        <v/>
      </c>
      <c r="D487" s="24" t="n"/>
      <c r="E487" s="24">
        <f>IF(D487="","",IFERROR(INDEX(Mentors!$D$2:$D$151,MATCH(D487,Mentors!$A$2:$A$151,0)),"ID not found"))</f>
        <v/>
      </c>
      <c r="F487" s="24">
        <f>IF(D487="","",IFERROR(INDEX(Mentors!$F$2:$F$151,MATCH(D487,Mentors!$A$2:$A$151,0))&amp;"",""))</f>
        <v/>
      </c>
      <c r="G487" s="24">
        <f>IF(D487="","",IFERROR(INDEX(Mentors!$P$2:$P$151,MATCH(D487,Mentors!$A$2:$A$151,0))&amp;"",""))</f>
        <v/>
      </c>
      <c r="H487" s="32" t="n"/>
      <c r="I487" s="32" t="n"/>
      <c r="J487" s="32" t="n"/>
      <c r="K487" s="24">
        <f>IF(B487="","",COUNT(I487:J487))</f>
        <v/>
      </c>
      <c r="L487" s="24" t="n"/>
      <c r="M487" s="24" t="n"/>
      <c r="N487" s="24" t="n"/>
      <c r="O487" s="24" t="n"/>
    </row>
    <row r="488">
      <c r="A488" s="24" t="inlineStr">
        <is>
          <t>M-487</t>
        </is>
      </c>
      <c r="B488" s="24" t="n"/>
      <c r="C488" s="24">
        <f>IF(B488="","",IFERROR(INDEX(Mentees!$D$2:$D$301,MATCH(B488,Mentees!$A$2:$A$301,0)),"ID not found"))</f>
        <v/>
      </c>
      <c r="D488" s="24" t="n"/>
      <c r="E488" s="24">
        <f>IF(D488="","",IFERROR(INDEX(Mentors!$D$2:$D$151,MATCH(D488,Mentors!$A$2:$A$151,0)),"ID not found"))</f>
        <v/>
      </c>
      <c r="F488" s="24">
        <f>IF(D488="","",IFERROR(INDEX(Mentors!$F$2:$F$151,MATCH(D488,Mentors!$A$2:$A$151,0))&amp;"",""))</f>
        <v/>
      </c>
      <c r="G488" s="24">
        <f>IF(D488="","",IFERROR(INDEX(Mentors!$P$2:$P$151,MATCH(D488,Mentors!$A$2:$A$151,0))&amp;"",""))</f>
        <v/>
      </c>
      <c r="H488" s="32" t="n"/>
      <c r="I488" s="32" t="n"/>
      <c r="J488" s="32" t="n"/>
      <c r="K488" s="24">
        <f>IF(B488="","",COUNT(I488:J488))</f>
        <v/>
      </c>
      <c r="L488" s="24" t="n"/>
      <c r="M488" s="24" t="n"/>
      <c r="N488" s="24" t="n"/>
      <c r="O488" s="24" t="n"/>
    </row>
    <row r="489">
      <c r="A489" s="24" t="inlineStr">
        <is>
          <t>M-488</t>
        </is>
      </c>
      <c r="B489" s="24" t="n"/>
      <c r="C489" s="24">
        <f>IF(B489="","",IFERROR(INDEX(Mentees!$D$2:$D$301,MATCH(B489,Mentees!$A$2:$A$301,0)),"ID not found"))</f>
        <v/>
      </c>
      <c r="D489" s="24" t="n"/>
      <c r="E489" s="24">
        <f>IF(D489="","",IFERROR(INDEX(Mentors!$D$2:$D$151,MATCH(D489,Mentors!$A$2:$A$151,0)),"ID not found"))</f>
        <v/>
      </c>
      <c r="F489" s="24">
        <f>IF(D489="","",IFERROR(INDEX(Mentors!$F$2:$F$151,MATCH(D489,Mentors!$A$2:$A$151,0))&amp;"",""))</f>
        <v/>
      </c>
      <c r="G489" s="24">
        <f>IF(D489="","",IFERROR(INDEX(Mentors!$P$2:$P$151,MATCH(D489,Mentors!$A$2:$A$151,0))&amp;"",""))</f>
        <v/>
      </c>
      <c r="H489" s="32" t="n"/>
      <c r="I489" s="32" t="n"/>
      <c r="J489" s="32" t="n"/>
      <c r="K489" s="24">
        <f>IF(B489="","",COUNT(I489:J489))</f>
        <v/>
      </c>
      <c r="L489" s="24" t="n"/>
      <c r="M489" s="24" t="n"/>
      <c r="N489" s="24" t="n"/>
      <c r="O489" s="24" t="n"/>
    </row>
    <row r="490">
      <c r="A490" s="24" t="inlineStr">
        <is>
          <t>M-489</t>
        </is>
      </c>
      <c r="B490" s="24" t="n"/>
      <c r="C490" s="24">
        <f>IF(B490="","",IFERROR(INDEX(Mentees!$D$2:$D$301,MATCH(B490,Mentees!$A$2:$A$301,0)),"ID not found"))</f>
        <v/>
      </c>
      <c r="D490" s="24" t="n"/>
      <c r="E490" s="24">
        <f>IF(D490="","",IFERROR(INDEX(Mentors!$D$2:$D$151,MATCH(D490,Mentors!$A$2:$A$151,0)),"ID not found"))</f>
        <v/>
      </c>
      <c r="F490" s="24">
        <f>IF(D490="","",IFERROR(INDEX(Mentors!$F$2:$F$151,MATCH(D490,Mentors!$A$2:$A$151,0))&amp;"",""))</f>
        <v/>
      </c>
      <c r="G490" s="24">
        <f>IF(D490="","",IFERROR(INDEX(Mentors!$P$2:$P$151,MATCH(D490,Mentors!$A$2:$A$151,0))&amp;"",""))</f>
        <v/>
      </c>
      <c r="H490" s="32" t="n"/>
      <c r="I490" s="32" t="n"/>
      <c r="J490" s="32" t="n"/>
      <c r="K490" s="24">
        <f>IF(B490="","",COUNT(I490:J490))</f>
        <v/>
      </c>
      <c r="L490" s="24" t="n"/>
      <c r="M490" s="24" t="n"/>
      <c r="N490" s="24" t="n"/>
      <c r="O490" s="24" t="n"/>
    </row>
    <row r="491">
      <c r="A491" s="24" t="inlineStr">
        <is>
          <t>M-490</t>
        </is>
      </c>
      <c r="B491" s="24" t="n"/>
      <c r="C491" s="24">
        <f>IF(B491="","",IFERROR(INDEX(Mentees!$D$2:$D$301,MATCH(B491,Mentees!$A$2:$A$301,0)),"ID not found"))</f>
        <v/>
      </c>
      <c r="D491" s="24" t="n"/>
      <c r="E491" s="24">
        <f>IF(D491="","",IFERROR(INDEX(Mentors!$D$2:$D$151,MATCH(D491,Mentors!$A$2:$A$151,0)),"ID not found"))</f>
        <v/>
      </c>
      <c r="F491" s="24">
        <f>IF(D491="","",IFERROR(INDEX(Mentors!$F$2:$F$151,MATCH(D491,Mentors!$A$2:$A$151,0))&amp;"",""))</f>
        <v/>
      </c>
      <c r="G491" s="24">
        <f>IF(D491="","",IFERROR(INDEX(Mentors!$P$2:$P$151,MATCH(D491,Mentors!$A$2:$A$151,0))&amp;"",""))</f>
        <v/>
      </c>
      <c r="H491" s="32" t="n"/>
      <c r="I491" s="32" t="n"/>
      <c r="J491" s="32" t="n"/>
      <c r="K491" s="24">
        <f>IF(B491="","",COUNT(I491:J491))</f>
        <v/>
      </c>
      <c r="L491" s="24" t="n"/>
      <c r="M491" s="24" t="n"/>
      <c r="N491" s="24" t="n"/>
      <c r="O491" s="24" t="n"/>
    </row>
    <row r="492">
      <c r="A492" s="24" t="inlineStr">
        <is>
          <t>M-491</t>
        </is>
      </c>
      <c r="B492" s="24" t="n"/>
      <c r="C492" s="24">
        <f>IF(B492="","",IFERROR(INDEX(Mentees!$D$2:$D$301,MATCH(B492,Mentees!$A$2:$A$301,0)),"ID not found"))</f>
        <v/>
      </c>
      <c r="D492" s="24" t="n"/>
      <c r="E492" s="24">
        <f>IF(D492="","",IFERROR(INDEX(Mentors!$D$2:$D$151,MATCH(D492,Mentors!$A$2:$A$151,0)),"ID not found"))</f>
        <v/>
      </c>
      <c r="F492" s="24">
        <f>IF(D492="","",IFERROR(INDEX(Mentors!$F$2:$F$151,MATCH(D492,Mentors!$A$2:$A$151,0))&amp;"",""))</f>
        <v/>
      </c>
      <c r="G492" s="24">
        <f>IF(D492="","",IFERROR(INDEX(Mentors!$P$2:$P$151,MATCH(D492,Mentors!$A$2:$A$151,0))&amp;"",""))</f>
        <v/>
      </c>
      <c r="H492" s="32" t="n"/>
      <c r="I492" s="32" t="n"/>
      <c r="J492" s="32" t="n"/>
      <c r="K492" s="24">
        <f>IF(B492="","",COUNT(I492:J492))</f>
        <v/>
      </c>
      <c r="L492" s="24" t="n"/>
      <c r="M492" s="24" t="n"/>
      <c r="N492" s="24" t="n"/>
      <c r="O492" s="24" t="n"/>
    </row>
    <row r="493">
      <c r="A493" s="24" t="inlineStr">
        <is>
          <t>M-492</t>
        </is>
      </c>
      <c r="B493" s="24" t="n"/>
      <c r="C493" s="24">
        <f>IF(B493="","",IFERROR(INDEX(Mentees!$D$2:$D$301,MATCH(B493,Mentees!$A$2:$A$301,0)),"ID not found"))</f>
        <v/>
      </c>
      <c r="D493" s="24" t="n"/>
      <c r="E493" s="24">
        <f>IF(D493="","",IFERROR(INDEX(Mentors!$D$2:$D$151,MATCH(D493,Mentors!$A$2:$A$151,0)),"ID not found"))</f>
        <v/>
      </c>
      <c r="F493" s="24">
        <f>IF(D493="","",IFERROR(INDEX(Mentors!$F$2:$F$151,MATCH(D493,Mentors!$A$2:$A$151,0))&amp;"",""))</f>
        <v/>
      </c>
      <c r="G493" s="24">
        <f>IF(D493="","",IFERROR(INDEX(Mentors!$P$2:$P$151,MATCH(D493,Mentors!$A$2:$A$151,0))&amp;"",""))</f>
        <v/>
      </c>
      <c r="H493" s="32" t="n"/>
      <c r="I493" s="32" t="n"/>
      <c r="J493" s="32" t="n"/>
      <c r="K493" s="24">
        <f>IF(B493="","",COUNT(I493:J493))</f>
        <v/>
      </c>
      <c r="L493" s="24" t="n"/>
      <c r="M493" s="24" t="n"/>
      <c r="N493" s="24" t="n"/>
      <c r="O493" s="24" t="n"/>
    </row>
    <row r="494">
      <c r="A494" s="24" t="inlineStr">
        <is>
          <t>M-493</t>
        </is>
      </c>
      <c r="B494" s="24" t="n"/>
      <c r="C494" s="24">
        <f>IF(B494="","",IFERROR(INDEX(Mentees!$D$2:$D$301,MATCH(B494,Mentees!$A$2:$A$301,0)),"ID not found"))</f>
        <v/>
      </c>
      <c r="D494" s="24" t="n"/>
      <c r="E494" s="24">
        <f>IF(D494="","",IFERROR(INDEX(Mentors!$D$2:$D$151,MATCH(D494,Mentors!$A$2:$A$151,0)),"ID not found"))</f>
        <v/>
      </c>
      <c r="F494" s="24">
        <f>IF(D494="","",IFERROR(INDEX(Mentors!$F$2:$F$151,MATCH(D494,Mentors!$A$2:$A$151,0))&amp;"",""))</f>
        <v/>
      </c>
      <c r="G494" s="24">
        <f>IF(D494="","",IFERROR(INDEX(Mentors!$P$2:$P$151,MATCH(D494,Mentors!$A$2:$A$151,0))&amp;"",""))</f>
        <v/>
      </c>
      <c r="H494" s="32" t="n"/>
      <c r="I494" s="32" t="n"/>
      <c r="J494" s="32" t="n"/>
      <c r="K494" s="24">
        <f>IF(B494="","",COUNT(I494:J494))</f>
        <v/>
      </c>
      <c r="L494" s="24" t="n"/>
      <c r="M494" s="24" t="n"/>
      <c r="N494" s="24" t="n"/>
      <c r="O494" s="24" t="n"/>
    </row>
    <row r="495">
      <c r="A495" s="24" t="inlineStr">
        <is>
          <t>M-494</t>
        </is>
      </c>
      <c r="B495" s="24" t="n"/>
      <c r="C495" s="24">
        <f>IF(B495="","",IFERROR(INDEX(Mentees!$D$2:$D$301,MATCH(B495,Mentees!$A$2:$A$301,0)),"ID not found"))</f>
        <v/>
      </c>
      <c r="D495" s="24" t="n"/>
      <c r="E495" s="24">
        <f>IF(D495="","",IFERROR(INDEX(Mentors!$D$2:$D$151,MATCH(D495,Mentors!$A$2:$A$151,0)),"ID not found"))</f>
        <v/>
      </c>
      <c r="F495" s="24">
        <f>IF(D495="","",IFERROR(INDEX(Mentors!$F$2:$F$151,MATCH(D495,Mentors!$A$2:$A$151,0))&amp;"",""))</f>
        <v/>
      </c>
      <c r="G495" s="24">
        <f>IF(D495="","",IFERROR(INDEX(Mentors!$P$2:$P$151,MATCH(D495,Mentors!$A$2:$A$151,0))&amp;"",""))</f>
        <v/>
      </c>
      <c r="H495" s="32" t="n"/>
      <c r="I495" s="32" t="n"/>
      <c r="J495" s="32" t="n"/>
      <c r="K495" s="24">
        <f>IF(B495="","",COUNT(I495:J495))</f>
        <v/>
      </c>
      <c r="L495" s="24" t="n"/>
      <c r="M495" s="24" t="n"/>
      <c r="N495" s="24" t="n"/>
      <c r="O495" s="24" t="n"/>
    </row>
    <row r="496">
      <c r="A496" s="24" t="inlineStr">
        <is>
          <t>M-495</t>
        </is>
      </c>
      <c r="B496" s="24" t="n"/>
      <c r="C496" s="24">
        <f>IF(B496="","",IFERROR(INDEX(Mentees!$D$2:$D$301,MATCH(B496,Mentees!$A$2:$A$301,0)),"ID not found"))</f>
        <v/>
      </c>
      <c r="D496" s="24" t="n"/>
      <c r="E496" s="24">
        <f>IF(D496="","",IFERROR(INDEX(Mentors!$D$2:$D$151,MATCH(D496,Mentors!$A$2:$A$151,0)),"ID not found"))</f>
        <v/>
      </c>
      <c r="F496" s="24">
        <f>IF(D496="","",IFERROR(INDEX(Mentors!$F$2:$F$151,MATCH(D496,Mentors!$A$2:$A$151,0))&amp;"",""))</f>
        <v/>
      </c>
      <c r="G496" s="24">
        <f>IF(D496="","",IFERROR(INDEX(Mentors!$P$2:$P$151,MATCH(D496,Mentors!$A$2:$A$151,0))&amp;"",""))</f>
        <v/>
      </c>
      <c r="H496" s="32" t="n"/>
      <c r="I496" s="32" t="n"/>
      <c r="J496" s="32" t="n"/>
      <c r="K496" s="24">
        <f>IF(B496="","",COUNT(I496:J496))</f>
        <v/>
      </c>
      <c r="L496" s="24" t="n"/>
      <c r="M496" s="24" t="n"/>
      <c r="N496" s="24" t="n"/>
      <c r="O496" s="24" t="n"/>
    </row>
    <row r="497">
      <c r="A497" s="24" t="inlineStr">
        <is>
          <t>M-496</t>
        </is>
      </c>
      <c r="B497" s="24" t="n"/>
      <c r="C497" s="24">
        <f>IF(B497="","",IFERROR(INDEX(Mentees!$D$2:$D$301,MATCH(B497,Mentees!$A$2:$A$301,0)),"ID not found"))</f>
        <v/>
      </c>
      <c r="D497" s="24" t="n"/>
      <c r="E497" s="24">
        <f>IF(D497="","",IFERROR(INDEX(Mentors!$D$2:$D$151,MATCH(D497,Mentors!$A$2:$A$151,0)),"ID not found"))</f>
        <v/>
      </c>
      <c r="F497" s="24">
        <f>IF(D497="","",IFERROR(INDEX(Mentors!$F$2:$F$151,MATCH(D497,Mentors!$A$2:$A$151,0))&amp;"",""))</f>
        <v/>
      </c>
      <c r="G497" s="24">
        <f>IF(D497="","",IFERROR(INDEX(Mentors!$P$2:$P$151,MATCH(D497,Mentors!$A$2:$A$151,0))&amp;"",""))</f>
        <v/>
      </c>
      <c r="H497" s="32" t="n"/>
      <c r="I497" s="32" t="n"/>
      <c r="J497" s="32" t="n"/>
      <c r="K497" s="24">
        <f>IF(B497="","",COUNT(I497:J497))</f>
        <v/>
      </c>
      <c r="L497" s="24" t="n"/>
      <c r="M497" s="24" t="n"/>
      <c r="N497" s="24" t="n"/>
      <c r="O497" s="24" t="n"/>
    </row>
    <row r="498">
      <c r="A498" s="24" t="inlineStr">
        <is>
          <t>M-497</t>
        </is>
      </c>
      <c r="B498" s="24" t="n"/>
      <c r="C498" s="24">
        <f>IF(B498="","",IFERROR(INDEX(Mentees!$D$2:$D$301,MATCH(B498,Mentees!$A$2:$A$301,0)),"ID not found"))</f>
        <v/>
      </c>
      <c r="D498" s="24" t="n"/>
      <c r="E498" s="24">
        <f>IF(D498="","",IFERROR(INDEX(Mentors!$D$2:$D$151,MATCH(D498,Mentors!$A$2:$A$151,0)),"ID not found"))</f>
        <v/>
      </c>
      <c r="F498" s="24">
        <f>IF(D498="","",IFERROR(INDEX(Mentors!$F$2:$F$151,MATCH(D498,Mentors!$A$2:$A$151,0))&amp;"",""))</f>
        <v/>
      </c>
      <c r="G498" s="24">
        <f>IF(D498="","",IFERROR(INDEX(Mentors!$P$2:$P$151,MATCH(D498,Mentors!$A$2:$A$151,0))&amp;"",""))</f>
        <v/>
      </c>
      <c r="H498" s="32" t="n"/>
      <c r="I498" s="32" t="n"/>
      <c r="J498" s="32" t="n"/>
      <c r="K498" s="24">
        <f>IF(B498="","",COUNT(I498:J498))</f>
        <v/>
      </c>
      <c r="L498" s="24" t="n"/>
      <c r="M498" s="24" t="n"/>
      <c r="N498" s="24" t="n"/>
      <c r="O498" s="24" t="n"/>
    </row>
    <row r="499">
      <c r="A499" s="24" t="inlineStr">
        <is>
          <t>M-498</t>
        </is>
      </c>
      <c r="B499" s="24" t="n"/>
      <c r="C499" s="24">
        <f>IF(B499="","",IFERROR(INDEX(Mentees!$D$2:$D$301,MATCH(B499,Mentees!$A$2:$A$301,0)),"ID not found"))</f>
        <v/>
      </c>
      <c r="D499" s="24" t="n"/>
      <c r="E499" s="24">
        <f>IF(D499="","",IFERROR(INDEX(Mentors!$D$2:$D$151,MATCH(D499,Mentors!$A$2:$A$151,0)),"ID not found"))</f>
        <v/>
      </c>
      <c r="F499" s="24">
        <f>IF(D499="","",IFERROR(INDEX(Mentors!$F$2:$F$151,MATCH(D499,Mentors!$A$2:$A$151,0))&amp;"",""))</f>
        <v/>
      </c>
      <c r="G499" s="24">
        <f>IF(D499="","",IFERROR(INDEX(Mentors!$P$2:$P$151,MATCH(D499,Mentors!$A$2:$A$151,0))&amp;"",""))</f>
        <v/>
      </c>
      <c r="H499" s="32" t="n"/>
      <c r="I499" s="32" t="n"/>
      <c r="J499" s="32" t="n"/>
      <c r="K499" s="24">
        <f>IF(B499="","",COUNT(I499:J499))</f>
        <v/>
      </c>
      <c r="L499" s="24" t="n"/>
      <c r="M499" s="24" t="n"/>
      <c r="N499" s="24" t="n"/>
      <c r="O499" s="24" t="n"/>
    </row>
    <row r="500">
      <c r="A500" s="24" t="inlineStr">
        <is>
          <t>M-499</t>
        </is>
      </c>
      <c r="B500" s="24" t="n"/>
      <c r="C500" s="24">
        <f>IF(B500="","",IFERROR(INDEX(Mentees!$D$2:$D$301,MATCH(B500,Mentees!$A$2:$A$301,0)),"ID not found"))</f>
        <v/>
      </c>
      <c r="D500" s="24" t="n"/>
      <c r="E500" s="24">
        <f>IF(D500="","",IFERROR(INDEX(Mentors!$D$2:$D$151,MATCH(D500,Mentors!$A$2:$A$151,0)),"ID not found"))</f>
        <v/>
      </c>
      <c r="F500" s="24">
        <f>IF(D500="","",IFERROR(INDEX(Mentors!$F$2:$F$151,MATCH(D500,Mentors!$A$2:$A$151,0))&amp;"",""))</f>
        <v/>
      </c>
      <c r="G500" s="24">
        <f>IF(D500="","",IFERROR(INDEX(Mentors!$P$2:$P$151,MATCH(D500,Mentors!$A$2:$A$151,0))&amp;"",""))</f>
        <v/>
      </c>
      <c r="H500" s="32" t="n"/>
      <c r="I500" s="32" t="n"/>
      <c r="J500" s="32" t="n"/>
      <c r="K500" s="24">
        <f>IF(B500="","",COUNT(I500:J500))</f>
        <v/>
      </c>
      <c r="L500" s="24" t="n"/>
      <c r="M500" s="24" t="n"/>
      <c r="N500" s="24" t="n"/>
      <c r="O500" s="24" t="n"/>
    </row>
    <row r="501">
      <c r="A501" s="24" t="inlineStr">
        <is>
          <t>M-500</t>
        </is>
      </c>
      <c r="B501" s="24" t="n"/>
      <c r="C501" s="24">
        <f>IF(B501="","",IFERROR(INDEX(Mentees!$D$2:$D$301,MATCH(B501,Mentees!$A$2:$A$301,0)),"ID not found"))</f>
        <v/>
      </c>
      <c r="D501" s="24" t="n"/>
      <c r="E501" s="24">
        <f>IF(D501="","",IFERROR(INDEX(Mentors!$D$2:$D$151,MATCH(D501,Mentors!$A$2:$A$151,0)),"ID not found"))</f>
        <v/>
      </c>
      <c r="F501" s="24">
        <f>IF(D501="","",IFERROR(INDEX(Mentors!$F$2:$F$151,MATCH(D501,Mentors!$A$2:$A$151,0))&amp;"",""))</f>
        <v/>
      </c>
      <c r="G501" s="24">
        <f>IF(D501="","",IFERROR(INDEX(Mentors!$P$2:$P$151,MATCH(D501,Mentors!$A$2:$A$151,0))&amp;"",""))</f>
        <v/>
      </c>
      <c r="H501" s="32" t="n"/>
      <c r="I501" s="32" t="n"/>
      <c r="J501" s="32" t="n"/>
      <c r="K501" s="24">
        <f>IF(B501="","",COUNT(I501:J501))</f>
        <v/>
      </c>
      <c r="L501" s="24" t="n"/>
      <c r="M501" s="24" t="n"/>
      <c r="N501" s="24" t="n"/>
      <c r="O501" s="24" t="n"/>
    </row>
  </sheetData>
  <conditionalFormatting sqref="L2:L501">
    <cfRule type="cellIs" priority="1" operator="equal" dxfId="0">
      <formula>"Completed"</formula>
    </cfRule>
    <cfRule type="cellIs" priority="2" operator="equal" dxfId="2">
      <formula>"Active"</formula>
    </cfRule>
    <cfRule type="cellIs" priority="3" operator="equal" dxfId="3">
      <formula>"Withdrawn"</formula>
    </cfRule>
    <cfRule type="cellIs" priority="4" operator="equal" dxfId="4">
      <formula>"Proposed"</formula>
    </cfRule>
    <cfRule type="cellIs" priority="5" operator="equal" dxfId="4">
      <formula>"Introduced"</formula>
    </cfRule>
  </conditionalFormatting>
  <dataValidations count="5">
    <dataValidation sqref="B2:B501" showDropDown="0" showInputMessage="0" showErrorMessage="1" allowBlank="1" errorTitle="Invalid entry" error="Pick a value from the list." type="list">
      <formula1>Mentees!$A$2:$A$301</formula1>
    </dataValidation>
    <dataValidation sqref="D2:D501" showDropDown="0" showInputMessage="0" showErrorMessage="1" allowBlank="1" errorTitle="Invalid entry" error="Pick a value from the list." type="list">
      <formula1>Mentors!$A$2:$A$151</formula1>
    </dataValidation>
    <dataValidation sqref="L2:L501" showDropDown="0" showInputMessage="0" showErrorMessage="1" allowBlank="1" errorTitle="Invalid entry" error="Pick a value from the list." type="list">
      <formula1>Settings!$J$4:$J$8</formula1>
    </dataValidation>
    <dataValidation sqref="M2:N501" showDropDown="0" showInputMessage="0" showErrorMessage="1" allowBlank="1" error="Enter a whole number from 1 to 5." type="whole" operator="between">
      <formula1>1</formula1>
      <formula2>5</formula2>
    </dataValidation>
    <dataValidation sqref="H2:J501" showDropDown="0" showInputMessage="0" showErrorMessage="1" allowBlank="1" error="Enter a date.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2026-10-20T15:34:13Z</dcterms:created>
  <dcterms:modified xmlns:dcterms="http://purl.org/dc/terms/" xmlns:xsi="http://www.w3.org/2001/XMLSchema-instance" xsi:type="dcterms:W3CDTF">2026-10-20T15:34:14Z</dcterms:modified>
</cp:coreProperties>
</file>